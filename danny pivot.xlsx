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Dell\Downloads\"/>
    </mc:Choice>
  </mc:AlternateContent>
  <xr:revisionPtr revIDLastSave="0" documentId="8_{41089E68-AACA-E348-AB18-F073E716035D}" xr6:coauthVersionLast="47" xr6:coauthVersionMax="47" xr10:uidLastSave="{00000000-0000-0000-0000-000000000000}"/>
  <bookViews>
    <workbookView xWindow="0" yWindow="0" windowWidth="19200" windowHeight="6930" xr2:uid="{00000000-000D-0000-FFFF-FFFF00000000}"/>
  </bookViews>
  <sheets>
    <sheet name="Dashboard" sheetId="3" r:id="rId1"/>
    <sheet name="Sales DataSheet" sheetId="1" r:id="rId2"/>
    <sheet name=" Pivot Table" sheetId="2" r:id="rId3"/>
  </sheets>
  <definedNames>
    <definedName name="_xlchart.v5.0" hidden="1">'Sales DataSheet'!$B$1:$I$1</definedName>
    <definedName name="_xlchart.v5.1" hidden="1">'Sales DataSheet'!$B$2:$I$51</definedName>
    <definedName name="_xlchart.v5.2" hidden="1">'Sales DataSheet'!$J$1</definedName>
    <definedName name="_xlchart.v5.3" hidden="1">'Sales DataSheet'!$J$2:$J$51</definedName>
    <definedName name="_xlcn.WorksheetConnection_Sales_Data.xlsxTable41" hidden="1">Table4[]</definedName>
    <definedName name="Slicer_Product">#N/A</definedName>
    <definedName name="Slicer_Region">#N/A</definedName>
    <definedName name="Slicer_Sales_Person">#N/A</definedName>
  </definedNames>
  <calcPr calcId="191028"/>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4" name="Table4" connection="WorksheetConnection_Sales_Data.xlsx!Table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8" i="1" l="1"/>
  <c r="L4" i="1"/>
  <c r="L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2" i="1"/>
  <c r="L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Sales_Data.xlsx!Table4" type="102" refreshedVersion="6" minRefreshableVersion="5">
    <extLst>
      <ext xmlns:x15="http://schemas.microsoft.com/office/spreadsheetml/2010/11/main" uri="{DE250136-89BD-433C-8126-D09CA5730AF9}">
        <x15:connection id="Table4">
          <x15:rangePr sourceName="_xlcn.WorksheetConnection_Sales_Data.xlsxTable41"/>
        </x15:connection>
      </ext>
    </extLst>
  </connection>
</connections>
</file>

<file path=xl/sharedStrings.xml><?xml version="1.0" encoding="utf-8"?>
<sst xmlns="http://schemas.openxmlformats.org/spreadsheetml/2006/main" count="275" uniqueCount="89">
  <si>
    <t>Date</t>
  </si>
  <si>
    <t>Sales Person</t>
  </si>
  <si>
    <t>Region</t>
  </si>
  <si>
    <t>Product</t>
  </si>
  <si>
    <t>Units Sold</t>
  </si>
  <si>
    <t>Unit Price</t>
  </si>
  <si>
    <t>Cost of Goods</t>
  </si>
  <si>
    <t>Total Sales</t>
  </si>
  <si>
    <t>2/19/2021</t>
  </si>
  <si>
    <t>9/7/2021</t>
  </si>
  <si>
    <t>2/3/2021</t>
  </si>
  <si>
    <t>9/11/2020</t>
  </si>
  <si>
    <t>9/23/2021</t>
  </si>
  <si>
    <t>10/1/2020</t>
  </si>
  <si>
    <t>8/5/2021</t>
  </si>
  <si>
    <t>11/6/2020</t>
  </si>
  <si>
    <t>1/27/2021</t>
  </si>
  <si>
    <t>9/3/2021</t>
  </si>
  <si>
    <t>9/30/2021</t>
  </si>
  <si>
    <t>9/10/2020</t>
  </si>
  <si>
    <t>7/27/2021</t>
  </si>
  <si>
    <t>10/9/2020</t>
  </si>
  <si>
    <t>4/6/2021</t>
  </si>
  <si>
    <t>6/15/2021</t>
  </si>
  <si>
    <t>9/9/2020</t>
  </si>
  <si>
    <t>8/13/2021</t>
  </si>
  <si>
    <t>8/27/2020</t>
  </si>
  <si>
    <t>4/7/2021</t>
  </si>
  <si>
    <t>6/8/2020</t>
  </si>
  <si>
    <t>12/21/2021</t>
  </si>
  <si>
    <t>8/10/2021</t>
  </si>
  <si>
    <t>12/2/2021</t>
  </si>
  <si>
    <t>8/30/2021</t>
  </si>
  <si>
    <t>5/20/2020</t>
  </si>
  <si>
    <t>9/13/2021</t>
  </si>
  <si>
    <t>10/27/2021</t>
  </si>
  <si>
    <t>12/22/2020</t>
  </si>
  <si>
    <t>7/28/2021</t>
  </si>
  <si>
    <t>9/29/2020</t>
  </si>
  <si>
    <t>10/22/2020</t>
  </si>
  <si>
    <t>5/19/2020</t>
  </si>
  <si>
    <t>12/6/2021</t>
  </si>
  <si>
    <t>8/26/2020</t>
  </si>
  <si>
    <t>7/1/2021</t>
  </si>
  <si>
    <t>10/5/2020</t>
  </si>
  <si>
    <t>9/2/2020</t>
  </si>
  <si>
    <t>9/2/2021</t>
  </si>
  <si>
    <t>4/13/2021</t>
  </si>
  <si>
    <t>5/6/2021</t>
  </si>
  <si>
    <t>1/15/2021</t>
  </si>
  <si>
    <t>2/5/2021</t>
  </si>
  <si>
    <t>11/17/2021</t>
  </si>
  <si>
    <t>12/28/2020</t>
  </si>
  <si>
    <t>11/2/2021</t>
  </si>
  <si>
    <t>5/7/2020</t>
  </si>
  <si>
    <t>Andrew</t>
  </si>
  <si>
    <t>Grace</t>
  </si>
  <si>
    <t>Ella</t>
  </si>
  <si>
    <t>Cameron</t>
  </si>
  <si>
    <t>Megan</t>
  </si>
  <si>
    <t>Carolyn</t>
  </si>
  <si>
    <t>Virginia</t>
  </si>
  <si>
    <t>Connor</t>
  </si>
  <si>
    <t>Anna</t>
  </si>
  <si>
    <t>Nicholas</t>
  </si>
  <si>
    <t>West</t>
  </si>
  <si>
    <t>East</t>
  </si>
  <si>
    <t>South</t>
  </si>
  <si>
    <t>North</t>
  </si>
  <si>
    <t>Tent</t>
  </si>
  <si>
    <t>Blender</t>
  </si>
  <si>
    <t>Action Figure</t>
  </si>
  <si>
    <t>Novel</t>
  </si>
  <si>
    <t>Sneakers</t>
  </si>
  <si>
    <t>Moisturizer</t>
  </si>
  <si>
    <t>Smartphone</t>
  </si>
  <si>
    <t>Profit</t>
  </si>
  <si>
    <t>Grand Total</t>
  </si>
  <si>
    <t>Total Profit</t>
  </si>
  <si>
    <t>Average Sales</t>
  </si>
  <si>
    <t>Row Labels</t>
  </si>
  <si>
    <t>Sum of Total Sales</t>
  </si>
  <si>
    <t>Sum of Units Sold</t>
  </si>
  <si>
    <t>Units Sold RT</t>
  </si>
  <si>
    <t>Maharashtra</t>
  </si>
  <si>
    <t>West Bengal</t>
  </si>
  <si>
    <t>Tamil Nadu</t>
  </si>
  <si>
    <t>Delhi</t>
  </si>
  <si>
    <t>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</si>
</sst>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 #,##0.00"/>
    <numFmt numFmtId="165" formatCode="_ [$₹-4009]\ * #,##0.00_ ;_ [$₹-4009]\ * \-#,##0.00_ ;_ [$₹-4009]\ * &quot;-&quot;??_ ;_ @_ "/>
    <numFmt numFmtId="166" formatCode="&quot;₹&quot;\ #,##0,,&quot;L&quot;"/>
    <numFmt numFmtId="167" formatCode="&quot;₹&quot;\ ##\.##,&quot;L&quot;"/>
  </numFmts>
  <fonts count="4" x14ac:knownFonts="1">
    <font>
      <sz val="11"/>
      <color theme="1"/>
      <name val="Calibri"/>
      <family val="2"/>
      <scheme val="minor"/>
    </font>
    <font>
      <b/>
      <sz val="11"/>
      <color theme="1"/>
      <name val="Calibri"/>
      <family val="2"/>
      <scheme val="minor"/>
    </font>
    <font>
      <b/>
      <sz val="11"/>
      <color theme="2"/>
      <name val="Calibri"/>
      <family val="2"/>
      <scheme val="minor"/>
    </font>
    <font>
      <sz val="11"/>
      <name val="Calibri"/>
      <family val="2"/>
      <scheme val="minor"/>
    </font>
  </fonts>
  <fills count="4">
    <fill>
      <patternFill patternType="none"/>
    </fill>
    <fill>
      <patternFill patternType="gray125"/>
    </fill>
    <fill>
      <patternFill patternType="solid">
        <fgColor theme="1"/>
        <bgColor indexed="64"/>
      </patternFill>
    </fill>
    <fill>
      <patternFill patternType="solid">
        <fgColor theme="0"/>
        <bgColor indexed="64"/>
      </patternFill>
    </fill>
  </fills>
  <borders count="3">
    <border>
      <left/>
      <right/>
      <top/>
      <bottom/>
      <diagonal/>
    </border>
    <border>
      <left style="thin">
        <color auto="1"/>
      </left>
      <right style="thin">
        <color auto="1"/>
      </right>
      <top/>
      <bottom style="thin">
        <color auto="1"/>
      </bottom>
      <diagonal/>
    </border>
    <border>
      <left style="thin">
        <color auto="1"/>
      </left>
      <right/>
      <top/>
      <bottom style="thin">
        <color auto="1"/>
      </bottom>
      <diagonal/>
    </border>
  </borders>
  <cellStyleXfs count="1">
    <xf numFmtId="0" fontId="0" fillId="0" borderId="0"/>
  </cellStyleXfs>
  <cellXfs count="15">
    <xf numFmtId="0" fontId="0" fillId="0" borderId="0" xfId="0"/>
    <xf numFmtId="0" fontId="0" fillId="0" borderId="0" xfId="0" applyAlignment="1">
      <alignment horizontal="center" vertical="center"/>
    </xf>
    <xf numFmtId="164" fontId="0" fillId="0" borderId="0" xfId="0" applyNumberFormat="1" applyAlignment="1">
      <alignment horizontal="center" vertical="center"/>
    </xf>
    <xf numFmtId="0" fontId="1" fillId="0" borderId="1" xfId="0" applyFont="1" applyBorder="1" applyAlignment="1">
      <alignment horizontal="center" vertical="center"/>
    </xf>
    <xf numFmtId="164" fontId="1" fillId="0" borderId="1" xfId="0" applyNumberFormat="1" applyFont="1" applyBorder="1" applyAlignment="1">
      <alignment horizontal="center" vertical="center"/>
    </xf>
    <xf numFmtId="164" fontId="1" fillId="0" borderId="2" xfId="0" applyNumberFormat="1" applyFont="1" applyBorder="1" applyAlignment="1">
      <alignment horizontal="center" vertical="center"/>
    </xf>
    <xf numFmtId="164" fontId="2" fillId="2" borderId="0" xfId="0" applyNumberFormat="1" applyFont="1" applyFill="1" applyAlignment="1">
      <alignment horizontal="center" vertical="center"/>
    </xf>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67" fontId="0" fillId="0" borderId="0" xfId="0" applyNumberFormat="1"/>
    <xf numFmtId="0" fontId="3" fillId="0" borderId="0" xfId="0" applyFont="1"/>
    <xf numFmtId="0" fontId="0" fillId="3" borderId="0" xfId="0" applyFill="1"/>
    <xf numFmtId="0" fontId="0" fillId="0" borderId="0" xfId="0" applyNumberFormat="1"/>
  </cellXfs>
  <cellStyles count="1">
    <cellStyle name="Normal" xfId="0" builtinId="0"/>
  </cellStyles>
  <dxfs count="27">
    <dxf>
      <numFmt numFmtId="167" formatCode="&quot;₹&quot;\ ##\.##,&quot;L&quot;"/>
    </dxf>
    <dxf>
      <numFmt numFmtId="165" formatCode="_ [$₹-4009]\ * #,##0.00_ ;_ [$₹-4009]\ * \-#,##0.00_ ;_ [$₹-4009]\ * &quot;-&quot;??_ ;_ @_ "/>
    </dxf>
    <dxf>
      <numFmt numFmtId="165" formatCode="_ [$₹-4009]\ * #,##0.00_ ;_ [$₹-4009]\ * \-#,##0.00_ ;_ [$₹-4009]\ * &quot;-&quot;??_ ;_ @_ "/>
    </dxf>
    <dxf>
      <numFmt numFmtId="167" formatCode="&quot;₹&quot;\ ##\.##,&quot;L&quot;"/>
    </dxf>
    <dxf>
      <numFmt numFmtId="166" formatCode="&quot;₹&quot;\ #,##0,,&quot;L&quot;"/>
    </dxf>
    <dxf>
      <numFmt numFmtId="165" formatCode="_ [$₹-4009]\ * #,##0.00_ ;_ [$₹-4009]\ * \-#,##0.00_ ;_ [$₹-4009]\ * &quot;-&quot;??_ ;_ @_ "/>
    </dxf>
    <dxf>
      <numFmt numFmtId="167" formatCode="&quot;₹&quot;\ ##\.##,&quot;L&quot;"/>
    </dxf>
    <dxf>
      <numFmt numFmtId="166" formatCode="&quot;₹&quot;\ #,##0,,&quot;L&quot;"/>
    </dxf>
    <dxf>
      <numFmt numFmtId="165" formatCode="_ [$₹-4009]\ * #,##0.00_ ;_ [$₹-4009]\ * \-#,##0.00_ ;_ [$₹-4009]\ * &quot;-&quot;??_ ;_ @_ "/>
    </dxf>
    <dxf>
      <numFmt numFmtId="0" formatCode="General"/>
    </dxf>
    <dxf>
      <numFmt numFmtId="165" formatCode="_ [$₹-4009]\ * #,##0.00_ ;_ [$₹-4009]\ * \-#,##0.00_ ;_ [$₹-4009]\ * &quot;-&quot;??_ ;_ @_ "/>
    </dxf>
    <dxf>
      <numFmt numFmtId="165" formatCode="_ [$₹-4009]\ * #,##0.00_ ;_ [$₹-4009]\ * \-#,##0.00_ ;_ [$₹-4009]\ * &quot;-&quot;??_ ;_ @_ "/>
    </dxf>
    <dxf>
      <numFmt numFmtId="164" formatCode="&quot;₹&quot;\ #,##0.00"/>
      <alignment horizontal="center" vertical="center" textRotation="0" wrapText="0" indent="0" justifyLastLine="0" shrinkToFit="0" readingOrder="0"/>
    </dxf>
    <dxf>
      <numFmt numFmtId="164" formatCode="&quot;₹&quot;\ #,##0.00"/>
      <alignment horizontal="center" vertical="center" textRotation="0" wrapText="0" indent="0" justifyLastLine="0" shrinkToFit="0" readingOrder="0"/>
    </dxf>
    <dxf>
      <numFmt numFmtId="164" formatCode="&quot;₹&quot;\ #,##0.0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top style="thin">
          <color auto="1"/>
        </top>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Calibri"/>
        <scheme val="minor"/>
      </font>
      <numFmt numFmtId="164" formatCode="&quot;₹&quot;\ #,##0.00"/>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bottom/>
      </border>
    </dxf>
    <dxf>
      <fill>
        <patternFill>
          <bgColor theme="1"/>
        </patternFill>
      </fill>
    </dxf>
  </dxfs>
  <tableStyles count="1" defaultTableStyle="TableStyleMedium9" defaultPivotStyle="PivotStyleLight16">
    <tableStyle name="Slicer Style 1" pivot="0" table="0" count="1" xr9:uid="{00000000-0011-0000-FFFF-FFFF00000000}">
      <tableStyleElement type="wholeTable" dxfId="26"/>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 /><Relationship Id="rId13" Type="http://schemas.openxmlformats.org/officeDocument/2006/relationships/calcChain" Target="calcChain.xml" /><Relationship Id="rId18" Type="http://schemas.openxmlformats.org/officeDocument/2006/relationships/customXml" Target="../customXml/item5.xml" /><Relationship Id="rId26" Type="http://schemas.openxmlformats.org/officeDocument/2006/relationships/customXml" Target="../customXml/item13.xml" /><Relationship Id="rId3" Type="http://schemas.openxmlformats.org/officeDocument/2006/relationships/worksheet" Target="worksheets/sheet3.xml" /><Relationship Id="rId21" Type="http://schemas.openxmlformats.org/officeDocument/2006/relationships/customXml" Target="../customXml/item8.xml" /><Relationship Id="rId7" Type="http://schemas.microsoft.com/office/2007/relationships/slicerCache" Target="slicerCaches/slicerCache3.xml" /><Relationship Id="rId12" Type="http://schemas.openxmlformats.org/officeDocument/2006/relationships/powerPivotData" Target="model/item.data" /><Relationship Id="rId17" Type="http://schemas.openxmlformats.org/officeDocument/2006/relationships/customXml" Target="../customXml/item4.xml" /><Relationship Id="rId25" Type="http://schemas.openxmlformats.org/officeDocument/2006/relationships/customXml" Target="../customXml/item12.xml" /><Relationship Id="rId2" Type="http://schemas.openxmlformats.org/officeDocument/2006/relationships/worksheet" Target="worksheets/sheet2.xml" /><Relationship Id="rId16" Type="http://schemas.openxmlformats.org/officeDocument/2006/relationships/customXml" Target="../customXml/item3.xml" /><Relationship Id="rId20" Type="http://schemas.openxmlformats.org/officeDocument/2006/relationships/customXml" Target="../customXml/item7.xml" /><Relationship Id="rId29" Type="http://schemas.openxmlformats.org/officeDocument/2006/relationships/customXml" Target="../customXml/item16.xml" /><Relationship Id="rId1" Type="http://schemas.openxmlformats.org/officeDocument/2006/relationships/worksheet" Target="worksheets/sheet1.xml" /><Relationship Id="rId6" Type="http://schemas.microsoft.com/office/2007/relationships/slicerCache" Target="slicerCaches/slicerCache2.xml" /><Relationship Id="rId11" Type="http://schemas.openxmlformats.org/officeDocument/2006/relationships/sharedStrings" Target="sharedStrings.xml" /><Relationship Id="rId24" Type="http://schemas.openxmlformats.org/officeDocument/2006/relationships/customXml" Target="../customXml/item11.xml" /><Relationship Id="rId5" Type="http://schemas.microsoft.com/office/2007/relationships/slicerCache" Target="slicerCaches/slicerCache1.xml" /><Relationship Id="rId15" Type="http://schemas.openxmlformats.org/officeDocument/2006/relationships/customXml" Target="../customXml/item2.xml" /><Relationship Id="rId23" Type="http://schemas.openxmlformats.org/officeDocument/2006/relationships/customXml" Target="../customXml/item10.xml" /><Relationship Id="rId28" Type="http://schemas.openxmlformats.org/officeDocument/2006/relationships/customXml" Target="../customXml/item15.xml" /><Relationship Id="rId10" Type="http://schemas.openxmlformats.org/officeDocument/2006/relationships/styles" Target="styles.xml" /><Relationship Id="rId19" Type="http://schemas.openxmlformats.org/officeDocument/2006/relationships/customXml" Target="../customXml/item6.xml" /><Relationship Id="rId4" Type="http://schemas.openxmlformats.org/officeDocument/2006/relationships/pivotCacheDefinition" Target="pivotCache/pivotCacheDefinition1.xml" /><Relationship Id="rId9" Type="http://schemas.openxmlformats.org/officeDocument/2006/relationships/connections" Target="connections.xml" /><Relationship Id="rId14" Type="http://schemas.openxmlformats.org/officeDocument/2006/relationships/customXml" Target="../customXml/item1.xml" /><Relationship Id="rId22" Type="http://schemas.openxmlformats.org/officeDocument/2006/relationships/customXml" Target="../customXml/item9.xml" /><Relationship Id="rId27" Type="http://schemas.openxmlformats.org/officeDocument/2006/relationships/customXml" Target="../customXml/item14.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_rels/chart3.xml.rels><?xml version="1.0" encoding="UTF-8" standalone="yes"?>
<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_rels/chart4.xml.rels><?xml version="1.0" encoding="UTF-8" standalone="yes"?>
<Relationships xmlns="http://schemas.openxmlformats.org/package/2006/relationships"><Relationship Id="rId2" Type="http://schemas.microsoft.com/office/2011/relationships/chartColorStyle" Target="colors3.xml" /><Relationship Id="rId1" Type="http://schemas.microsoft.com/office/2011/relationships/chartStyle" Target="style3.xml" /></Relationships>
</file>

<file path=xl/charts/_rels/chart5.xml.rels><?xml version="1.0" encoding="UTF-8" standalone="yes"?>
<Relationships xmlns="http://schemas.openxmlformats.org/package/2006/relationships"><Relationship Id="rId2" Type="http://schemas.microsoft.com/office/2011/relationships/chartColorStyle" Target="colors5.xml" /><Relationship Id="rId1" Type="http://schemas.microsoft.com/office/2011/relationships/chartStyle" Target="style5.xml" /></Relationships>
</file>

<file path=xl/charts/_rels/chart6.xml.rels><?xml version="1.0" encoding="UTF-8" standalone="yes"?>
<Relationships xmlns="http://schemas.openxmlformats.org/package/2006/relationships"><Relationship Id="rId2" Type="http://schemas.microsoft.com/office/2011/relationships/chartColorStyle" Target="colors6.xml" /><Relationship Id="rId1" Type="http://schemas.microsoft.com/office/2011/relationships/chartStyle" Target="style6.xml" /></Relationships>
</file>

<file path=xl/charts/_rels/chart7.xml.rels><?xml version="1.0" encoding="UTF-8" standalone="yes"?>
<Relationships xmlns="http://schemas.openxmlformats.org/package/2006/relationships"><Relationship Id="rId2" Type="http://schemas.microsoft.com/office/2011/relationships/chartColorStyle" Target="colors7.xml" /><Relationship Id="rId1" Type="http://schemas.microsoft.com/office/2011/relationships/chartStyle" Target="style7.xml" /></Relationships>
</file>

<file path=xl/charts/_rels/chartEx1.xml.rels><?xml version="1.0" encoding="UTF-8" standalone="yes"?>
<Relationships xmlns="http://schemas.openxmlformats.org/package/2006/relationships"><Relationship Id="rId2" Type="http://schemas.microsoft.com/office/2011/relationships/chartColorStyle" Target="colors4.xml" /><Relationship Id="rId1" Type="http://schemas.microsoft.com/office/2011/relationships/chartStyle" Target="style4.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[danny pivot.xlsx] Pivot Table!PivotTable1</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3611111111111102"/>
              <c:y val="-5.55555555555556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1111111111111101"/>
              <c:y val="0.106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500000000000000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1388888888888891"/>
              <c:y val="-0.136986301369863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3611111111111102"/>
              <c:y val="-5.55555555555556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111111111111101"/>
              <c:y val="0.106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500000000000000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1388888888888891"/>
              <c:y val="-0.136986301369863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3611111111111102"/>
              <c:y val="-5.555555555555560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1111111111111101"/>
              <c:y val="0.1064814814814814"/>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500000000000000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1388888888888891"/>
              <c:y val="-0.13698630136986306"/>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s>
    <c:plotArea>
      <c:layout/>
      <c:doughnutChart>
        <c:varyColors val="1"/>
        <c:ser>
          <c:idx val="0"/>
          <c:order val="0"/>
          <c:tx>
            <c:strRef>
              <c:f>' 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E5B-48BD-BB0B-C8F3B53634F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E5B-48BD-BB0B-C8F3B53634F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E5B-48BD-BB0B-C8F3B53634F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E5B-48BD-BB0B-C8F3B53634F0}"/>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 Pivot Table'!$A$4</c:f>
              <c:strCache>
                <c:ptCount val="1"/>
                <c:pt idx="0">
                  <c:v>Grand Total</c:v>
                </c:pt>
              </c:strCache>
            </c:strRef>
          </c:cat>
          <c:val>
            <c:numRef>
              <c:f>' Pivot Table'!$B$4</c:f>
              <c:numCache>
                <c:formatCode>"₹"\ ##\.##,"L"</c:formatCode>
                <c:ptCount val="1"/>
              </c:numCache>
            </c:numRef>
          </c:val>
          <c:extLst>
            <c:ext xmlns:c16="http://schemas.microsoft.com/office/drawing/2014/chart" uri="{C3380CC4-5D6E-409C-BE32-E72D297353CC}">
              <c16:uniqueId val="{00000008-6E5B-48BD-BB0B-C8F3B53634F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accen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[danny pivot.xlsx] Pivot Table!PivotTable4</c:name>
    <c:fmtId val="5"/>
  </c:pivotSource>
  <c:chart>
    <c:autoTitleDeleted val="1"/>
    <c:pivotFmts>
      <c:pivotFmt>
        <c:idx val="0"/>
        <c:spPr>
          <a:solidFill>
            <a:schemeClr val="accent1"/>
          </a:solidFill>
          <a:ln>
            <a:noFill/>
          </a:ln>
          <a:effectLst/>
        </c:spPr>
        <c:marker>
          <c:symbol val="circle"/>
          <c:size val="10"/>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10"/>
          <c:spPr>
            <a:solidFill>
              <a:schemeClr val="accent1"/>
            </a:solidFill>
            <a:ln w="9525">
              <a:solidFill>
                <a:schemeClr val="accent1"/>
              </a:solidFill>
            </a:ln>
            <a:effectLst/>
          </c:spPr>
        </c:marker>
      </c:pivotFmt>
      <c:pivotFmt>
        <c:idx val="2"/>
        <c:spPr>
          <a:solidFill>
            <a:schemeClr val="accent1"/>
          </a:solidFill>
          <a:ln>
            <a:noFill/>
          </a:ln>
          <a:effectLst/>
        </c:spPr>
        <c:marker>
          <c:symbol val="circle"/>
          <c:size val="10"/>
          <c:spPr>
            <a:solidFill>
              <a:schemeClr val="accent1"/>
            </a:solidFill>
            <a:ln w="9525">
              <a:solidFill>
                <a:schemeClr val="accent1"/>
              </a:solidFill>
            </a:ln>
            <a:effectLst/>
          </c:spPr>
        </c:marker>
      </c:pivotFmt>
      <c:pivotFmt>
        <c:idx val="3"/>
        <c:spPr>
          <a:solidFill>
            <a:schemeClr val="accent1"/>
          </a:solidFill>
          <a:ln>
            <a:noFill/>
          </a:ln>
          <a:effectLst/>
        </c:spPr>
        <c:marker>
          <c:symbol val="circle"/>
          <c:size val="10"/>
          <c:spPr>
            <a:solidFill>
              <a:schemeClr val="accent1"/>
            </a:solidFill>
            <a:ln w="9525">
              <a:solidFill>
                <a:schemeClr val="accent1"/>
              </a:solidFill>
            </a:ln>
            <a:effectLst/>
          </c:spPr>
        </c:marker>
      </c:pivotFmt>
      <c:pivotFmt>
        <c:idx val="4"/>
        <c:spPr>
          <a:solidFill>
            <a:schemeClr val="accent1"/>
          </a:solidFill>
          <a:ln>
            <a:noFill/>
          </a:ln>
          <a:effectLst/>
        </c:spPr>
        <c:marker>
          <c:symbol val="circle"/>
          <c:size val="10"/>
          <c:spPr>
            <a:solidFill>
              <a:schemeClr val="accent1"/>
            </a:solidFill>
            <a:ln w="9525">
              <a:solidFill>
                <a:schemeClr val="accent1"/>
              </a:solidFill>
            </a:ln>
            <a:effectLst/>
          </c:spPr>
        </c:marker>
      </c:pivotFmt>
      <c:pivotFmt>
        <c:idx val="5"/>
        <c:spPr>
          <a:solidFill>
            <a:schemeClr val="accent1"/>
          </a:solidFill>
          <a:ln>
            <a:noFill/>
          </a:ln>
          <a:effectLst/>
        </c:spPr>
        <c:marker>
          <c:symbol val="circle"/>
          <c:size val="10"/>
          <c:spPr>
            <a:solidFill>
              <a:schemeClr val="accent1"/>
            </a:solidFill>
            <a:ln w="9525">
              <a:solidFill>
                <a:schemeClr val="accent1"/>
              </a:solidFill>
            </a:ln>
            <a:effectLst/>
          </c:spPr>
        </c:marker>
      </c:pivotFmt>
      <c:pivotFmt>
        <c:idx val="6"/>
        <c:spPr>
          <a:solidFill>
            <a:schemeClr val="accent1"/>
          </a:solidFill>
          <a:ln>
            <a:noFill/>
          </a:ln>
          <a:effectLst/>
        </c:spPr>
        <c:marker>
          <c:symbol val="circle"/>
          <c:size val="10"/>
          <c:spPr>
            <a:solidFill>
              <a:schemeClr val="accent1"/>
            </a:solidFill>
            <a:ln w="9525">
              <a:solidFill>
                <a:schemeClr val="accent1"/>
              </a:solidFill>
            </a:ln>
            <a:effectLst/>
          </c:spPr>
        </c:marker>
      </c:pivotFmt>
      <c:pivotFmt>
        <c:idx val="7"/>
        <c:spPr>
          <a:solidFill>
            <a:schemeClr val="accent1"/>
          </a:solidFill>
          <a:ln>
            <a:noFill/>
          </a:ln>
          <a:effectLst/>
        </c:spPr>
        <c:marker>
          <c:symbol val="circle"/>
          <c:size val="10"/>
          <c:spPr>
            <a:solidFill>
              <a:schemeClr val="accent1"/>
            </a:solidFill>
            <a:ln w="9525">
              <a:solidFill>
                <a:schemeClr val="accent1"/>
              </a:solidFill>
            </a:ln>
            <a:effectLst/>
          </c:spPr>
        </c:marker>
      </c:pivotFmt>
      <c:pivotFmt>
        <c:idx val="8"/>
        <c:spPr>
          <a:solidFill>
            <a:schemeClr val="accent1"/>
          </a:solidFill>
          <a:ln>
            <a:noFill/>
          </a:ln>
          <a:effectLst/>
        </c:spPr>
        <c:marker>
          <c:symbol val="circle"/>
          <c:size val="10"/>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circle"/>
          <c:size val="10"/>
          <c:spPr>
            <a:solidFill>
              <a:schemeClr val="accent1"/>
            </a:solidFill>
            <a:ln w="9525">
              <a:solidFill>
                <a:schemeClr val="accent1"/>
              </a:solidFill>
            </a:ln>
            <a:effectLst/>
          </c:spPr>
        </c:marker>
      </c:pivotFmt>
      <c:pivotFmt>
        <c:idx val="10"/>
        <c:spPr>
          <a:solidFill>
            <a:schemeClr val="accent1"/>
          </a:solidFill>
          <a:ln>
            <a:noFill/>
          </a:ln>
          <a:effectLst/>
        </c:spPr>
        <c:marker>
          <c:symbol val="circle"/>
          <c:size val="10"/>
          <c:spPr>
            <a:solidFill>
              <a:schemeClr val="accent1"/>
            </a:solidFill>
            <a:ln w="9525">
              <a:solidFill>
                <a:schemeClr val="accent1"/>
              </a:solidFill>
            </a:ln>
            <a:effectLst/>
          </c:spPr>
        </c:marker>
      </c:pivotFmt>
      <c:pivotFmt>
        <c:idx val="11"/>
        <c:spPr>
          <a:solidFill>
            <a:schemeClr val="accent1"/>
          </a:solidFill>
          <a:ln>
            <a:noFill/>
          </a:ln>
          <a:effectLst/>
        </c:spPr>
        <c:marker>
          <c:symbol val="circle"/>
          <c:size val="10"/>
          <c:spPr>
            <a:solidFill>
              <a:schemeClr val="accent1"/>
            </a:solidFill>
            <a:ln w="9525">
              <a:solidFill>
                <a:schemeClr val="accent1"/>
              </a:solidFill>
            </a:ln>
            <a:effectLst/>
          </c:spPr>
        </c:marker>
      </c:pivotFmt>
      <c:pivotFmt>
        <c:idx val="12"/>
        <c:spPr>
          <a:solidFill>
            <a:schemeClr val="accent1"/>
          </a:solidFill>
          <a:ln>
            <a:noFill/>
          </a:ln>
          <a:effectLst/>
        </c:spPr>
        <c:marker>
          <c:symbol val="circle"/>
          <c:size val="10"/>
          <c:spPr>
            <a:solidFill>
              <a:schemeClr val="accent1"/>
            </a:solidFill>
            <a:ln w="9525">
              <a:solidFill>
                <a:schemeClr val="accent1"/>
              </a:solidFill>
            </a:ln>
            <a:effectLst/>
          </c:spPr>
        </c:marker>
      </c:pivotFmt>
      <c:pivotFmt>
        <c:idx val="13"/>
        <c:spPr>
          <a:solidFill>
            <a:schemeClr val="accent1"/>
          </a:solidFill>
          <a:ln>
            <a:noFill/>
          </a:ln>
          <a:effectLst/>
        </c:spPr>
        <c:marker>
          <c:symbol val="circle"/>
          <c:size val="10"/>
          <c:spPr>
            <a:solidFill>
              <a:schemeClr val="accent1"/>
            </a:solidFill>
            <a:ln w="9525">
              <a:solidFill>
                <a:schemeClr val="accent1"/>
              </a:solidFill>
            </a:ln>
            <a:effectLst/>
          </c:spPr>
        </c:marker>
      </c:pivotFmt>
      <c:pivotFmt>
        <c:idx val="14"/>
        <c:spPr>
          <a:solidFill>
            <a:schemeClr val="accent1"/>
          </a:solidFill>
          <a:ln>
            <a:noFill/>
          </a:ln>
          <a:effectLst/>
        </c:spPr>
        <c:marker>
          <c:symbol val="circle"/>
          <c:size val="10"/>
          <c:spPr>
            <a:solidFill>
              <a:schemeClr val="accent1"/>
            </a:solidFill>
            <a:ln w="9525">
              <a:solidFill>
                <a:schemeClr val="accent1"/>
              </a:solidFill>
            </a:ln>
            <a:effectLst/>
          </c:spPr>
        </c:marker>
      </c:pivotFmt>
      <c:pivotFmt>
        <c:idx val="15"/>
        <c:spPr>
          <a:solidFill>
            <a:schemeClr val="accent1"/>
          </a:solidFill>
          <a:ln>
            <a:noFill/>
          </a:ln>
          <a:effectLst/>
        </c:spPr>
        <c:marker>
          <c:symbol val="circle"/>
          <c:size val="10"/>
          <c:spPr>
            <a:solidFill>
              <a:schemeClr val="accent1"/>
            </a:solidFill>
            <a:ln w="9525">
              <a:solidFill>
                <a:schemeClr val="accent1"/>
              </a:solidFill>
            </a:ln>
            <a:effectLst/>
          </c:spPr>
        </c:marker>
      </c:pivotFmt>
      <c:pivotFmt>
        <c:idx val="16"/>
        <c:marker>
          <c:symbol val="circle"/>
          <c:size val="10"/>
        </c:marker>
        <c:dLbl>
          <c:idx val="0"/>
          <c:spPr>
            <a:noFill/>
            <a:ln>
              <a:noFill/>
            </a:ln>
            <a:effectLst/>
          </c:spPr>
          <c:txPr>
            <a:bodyPr rot="0" spcFirstLastPara="1" vertOverflow="ellipsis" vert="horz" wrap="square" anchor="ctr" anchorCtr="1"/>
            <a:lstStyle/>
            <a:p>
              <a:pPr>
                <a:defRPr sz="1100" b="0" i="0" u="none" strike="noStrike" kern="1200" baseline="0">
                  <a:solidFill>
                    <a:schemeClr val="accen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10"/>
          <c:spPr>
            <a:solidFill>
              <a:schemeClr val="accent1"/>
            </a:solidFill>
            <a:ln w="9525">
              <a:solidFill>
                <a:schemeClr val="accent1"/>
              </a:solidFill>
            </a:ln>
            <a:effectLst/>
          </c:spPr>
        </c:marker>
      </c:pivotFmt>
      <c:pivotFmt>
        <c:idx val="18"/>
        <c:spPr>
          <a:ln w="28575" cap="rnd">
            <a:solidFill>
              <a:schemeClr val="accent2"/>
            </a:solidFill>
            <a:round/>
          </a:ln>
          <a:effectLst/>
        </c:spPr>
        <c:marker>
          <c:symbol val="circle"/>
          <c:size val="10"/>
          <c:spPr>
            <a:solidFill>
              <a:schemeClr val="accent2"/>
            </a:solidFill>
            <a:ln w="9525">
              <a:solidFill>
                <a:schemeClr val="accent2"/>
              </a:solidFill>
            </a:ln>
            <a:effectLst/>
          </c:spPr>
        </c:marker>
      </c:pivotFmt>
      <c:pivotFmt>
        <c:idx val="19"/>
        <c:spPr>
          <a:ln w="28575" cap="rnd">
            <a:solidFill>
              <a:schemeClr val="accent3"/>
            </a:solidFill>
            <a:round/>
          </a:ln>
          <a:effectLst/>
        </c:spPr>
        <c:marker>
          <c:symbol val="circle"/>
          <c:size val="10"/>
          <c:spPr>
            <a:solidFill>
              <a:schemeClr val="accent3"/>
            </a:solidFill>
            <a:ln w="9525">
              <a:solidFill>
                <a:schemeClr val="accent3"/>
              </a:solidFill>
            </a:ln>
            <a:effectLst/>
          </c:spPr>
        </c:marker>
      </c:pivotFmt>
      <c:pivotFmt>
        <c:idx val="20"/>
        <c:spPr>
          <a:ln w="28575" cap="rnd">
            <a:solidFill>
              <a:schemeClr val="accent4"/>
            </a:solidFill>
            <a:round/>
          </a:ln>
          <a:effectLst/>
        </c:spPr>
        <c:marker>
          <c:symbol val="circle"/>
          <c:size val="10"/>
          <c:spPr>
            <a:solidFill>
              <a:schemeClr val="accent4"/>
            </a:solidFill>
            <a:ln w="9525">
              <a:solidFill>
                <a:schemeClr val="accent4"/>
              </a:solidFill>
            </a:ln>
            <a:effectLst/>
          </c:spPr>
        </c:marker>
      </c:pivotFmt>
      <c:pivotFmt>
        <c:idx val="21"/>
        <c:spPr>
          <a:ln w="28575" cap="rnd">
            <a:solidFill>
              <a:schemeClr val="accent5"/>
            </a:solidFill>
            <a:round/>
          </a:ln>
          <a:effectLst/>
        </c:spPr>
        <c:marker>
          <c:symbol val="circle"/>
          <c:size val="10"/>
          <c:spPr>
            <a:solidFill>
              <a:schemeClr val="accent5"/>
            </a:solidFill>
            <a:ln w="9525">
              <a:solidFill>
                <a:schemeClr val="accent5"/>
              </a:solidFill>
            </a:ln>
            <a:effectLst/>
          </c:spPr>
        </c:marker>
      </c:pivotFmt>
      <c:pivotFmt>
        <c:idx val="22"/>
        <c:spPr>
          <a:ln w="28575" cap="rnd">
            <a:solidFill>
              <a:schemeClr val="accent6"/>
            </a:solidFill>
            <a:round/>
          </a:ln>
          <a:effectLst/>
        </c:spPr>
        <c:marker>
          <c:symbol val="circle"/>
          <c:size val="10"/>
          <c:spPr>
            <a:solidFill>
              <a:schemeClr val="accent6"/>
            </a:solidFill>
            <a:ln w="9525">
              <a:solidFill>
                <a:schemeClr val="accent6"/>
              </a:solidFill>
            </a:ln>
            <a:effectLst/>
          </c:spPr>
        </c:marker>
      </c:pivotFmt>
      <c:pivotFmt>
        <c:idx val="23"/>
        <c:spPr>
          <a:ln w="28575" cap="rnd">
            <a:solidFill>
              <a:schemeClr val="accent1">
                <a:lumMod val="60000"/>
              </a:schemeClr>
            </a:solidFill>
            <a:round/>
          </a:ln>
          <a:effectLst/>
        </c:spPr>
        <c:marker>
          <c:symbol val="circle"/>
          <c:size val="10"/>
          <c:spPr>
            <a:solidFill>
              <a:schemeClr val="accent1">
                <a:lumMod val="60000"/>
              </a:schemeClr>
            </a:solidFill>
            <a:ln w="9525">
              <a:solidFill>
                <a:schemeClr val="accent1">
                  <a:lumMod val="60000"/>
                </a:schemeClr>
              </a:solidFill>
            </a:ln>
            <a:effectLst/>
          </c:spPr>
        </c:marker>
      </c:pivotFmt>
    </c:pivotFmts>
    <c:plotArea>
      <c:layout>
        <c:manualLayout>
          <c:layoutTarget val="inner"/>
          <c:xMode val="edge"/>
          <c:yMode val="edge"/>
          <c:x val="4.0628358214991202E-2"/>
          <c:y val="0.15333332601606653"/>
          <c:w val="0.88327244505440972"/>
          <c:h val="0.72493735504951773"/>
        </c:manualLayout>
      </c:layout>
      <c:lineChart>
        <c:grouping val="standard"/>
        <c:varyColors val="1"/>
        <c:ser>
          <c:idx val="0"/>
          <c:order val="0"/>
          <c:tx>
            <c:strRef>
              <c:f>' Pivot Table'!$K$3</c:f>
              <c:strCache>
                <c:ptCount val="1"/>
                <c:pt idx="0">
                  <c:v>Total</c:v>
                </c:pt>
              </c:strCache>
            </c:strRef>
          </c:tx>
          <c:marker>
            <c:symbol val="circle"/>
            <c:size val="10"/>
          </c:marker>
          <c:dPt>
            <c:idx val="0"/>
            <c:bubble3D val="0"/>
            <c:extLst>
              <c:ext xmlns:c16="http://schemas.microsoft.com/office/drawing/2014/chart" uri="{C3380CC4-5D6E-409C-BE32-E72D297353CC}">
                <c16:uniqueId val="{00000001-DF2E-478E-A278-8269542AC59C}"/>
              </c:ext>
            </c:extLst>
          </c:dPt>
          <c:dPt>
            <c:idx val="1"/>
            <c:bubble3D val="0"/>
            <c:extLst>
              <c:ext xmlns:c16="http://schemas.microsoft.com/office/drawing/2014/chart" uri="{C3380CC4-5D6E-409C-BE32-E72D297353CC}">
                <c16:uniqueId val="{00000003-DF2E-478E-A278-8269542AC59C}"/>
              </c:ext>
            </c:extLst>
          </c:dPt>
          <c:dPt>
            <c:idx val="2"/>
            <c:bubble3D val="0"/>
            <c:extLst>
              <c:ext xmlns:c16="http://schemas.microsoft.com/office/drawing/2014/chart" uri="{C3380CC4-5D6E-409C-BE32-E72D297353CC}">
                <c16:uniqueId val="{00000005-DF2E-478E-A278-8269542AC59C}"/>
              </c:ext>
            </c:extLst>
          </c:dPt>
          <c:dPt>
            <c:idx val="3"/>
            <c:bubble3D val="0"/>
            <c:extLst>
              <c:ext xmlns:c16="http://schemas.microsoft.com/office/drawing/2014/chart" uri="{C3380CC4-5D6E-409C-BE32-E72D297353CC}">
                <c16:uniqueId val="{00000007-DF2E-478E-A278-8269542AC59C}"/>
              </c:ext>
            </c:extLst>
          </c:dPt>
          <c:dPt>
            <c:idx val="4"/>
            <c:bubble3D val="0"/>
            <c:extLst>
              <c:ext xmlns:c16="http://schemas.microsoft.com/office/drawing/2014/chart" uri="{C3380CC4-5D6E-409C-BE32-E72D297353CC}">
                <c16:uniqueId val="{00000009-DF2E-478E-A278-8269542AC59C}"/>
              </c:ext>
            </c:extLst>
          </c:dPt>
          <c:dPt>
            <c:idx val="5"/>
            <c:bubble3D val="0"/>
            <c:extLst>
              <c:ext xmlns:c16="http://schemas.microsoft.com/office/drawing/2014/chart" uri="{C3380CC4-5D6E-409C-BE32-E72D297353CC}">
                <c16:uniqueId val="{0000000B-DF2E-478E-A278-8269542AC59C}"/>
              </c:ext>
            </c:extLst>
          </c:dPt>
          <c:dPt>
            <c:idx val="6"/>
            <c:bubble3D val="0"/>
            <c:extLst>
              <c:ext xmlns:c16="http://schemas.microsoft.com/office/drawing/2014/chart" uri="{C3380CC4-5D6E-409C-BE32-E72D297353CC}">
                <c16:uniqueId val="{0000000D-DF2E-478E-A278-8269542AC59C}"/>
              </c:ext>
            </c:extLst>
          </c:dPt>
          <c:dLbls>
            <c:spPr>
              <a:noFill/>
              <a:ln>
                <a:noFill/>
              </a:ln>
              <a:effectLst/>
            </c:spPr>
            <c:txPr>
              <a:bodyPr rot="0" spcFirstLastPara="1" vertOverflow="ellipsis" vert="horz" wrap="square" anchor="ctr" anchorCtr="1"/>
              <a:lstStyle/>
              <a:p>
                <a:pPr>
                  <a:defRPr sz="1100" b="0" i="0" u="none" strike="noStrike" kern="1200" baseline="0">
                    <a:solidFill>
                      <a:schemeClr val="accen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Table'!$J$4</c:f>
              <c:strCache>
                <c:ptCount val="1"/>
                <c:pt idx="0">
                  <c:v>Grand Total</c:v>
                </c:pt>
              </c:strCache>
            </c:strRef>
          </c:cat>
          <c:val>
            <c:numRef>
              <c:f>' Pivot Table'!$K$4</c:f>
              <c:numCache>
                <c:formatCode>General</c:formatCode>
                <c:ptCount val="1"/>
              </c:numCache>
            </c:numRef>
          </c:val>
          <c:smooth val="1"/>
          <c:extLst>
            <c:ext xmlns:c16="http://schemas.microsoft.com/office/drawing/2014/chart" uri="{C3380CC4-5D6E-409C-BE32-E72D297353CC}">
              <c16:uniqueId val="{0000000E-DF2E-478E-A278-8269542AC59C}"/>
            </c:ext>
          </c:extLst>
        </c:ser>
        <c:dLbls>
          <c:dLblPos val="t"/>
          <c:showLegendKey val="0"/>
          <c:showVal val="1"/>
          <c:showCatName val="0"/>
          <c:showSerName val="0"/>
          <c:showPercent val="0"/>
          <c:showBubbleSize val="0"/>
        </c:dLbls>
        <c:marker val="1"/>
        <c:smooth val="0"/>
        <c:axId val="1687323648"/>
        <c:axId val="1585320832"/>
      </c:lineChart>
      <c:catAx>
        <c:axId val="168732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1"/>
                </a:solidFill>
                <a:latin typeface="+mn-lt"/>
                <a:ea typeface="+mn-ea"/>
                <a:cs typeface="+mn-cs"/>
              </a:defRPr>
            </a:pPr>
            <a:endParaRPr lang="en-US"/>
          </a:p>
        </c:txPr>
        <c:crossAx val="1585320832"/>
        <c:crosses val="autoZero"/>
        <c:auto val="1"/>
        <c:lblAlgn val="ctr"/>
        <c:lblOffset val="100"/>
        <c:noMultiLvlLbl val="0"/>
      </c:catAx>
      <c:valAx>
        <c:axId val="1585320832"/>
        <c:scaling>
          <c:orientation val="minMax"/>
        </c:scaling>
        <c:delete val="1"/>
        <c:axPos val="l"/>
        <c:numFmt formatCode="General" sourceLinked="1"/>
        <c:majorTickMark val="none"/>
        <c:minorTickMark val="none"/>
        <c:tickLblPos val="nextTo"/>
        <c:crossAx val="1687323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[danny pivot.xlsx] Pivot Table!PivotTable2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IN" sz="11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18442494851276"/>
          <c:y val="6.2467415440405301E-2"/>
          <c:w val="0.81618806908395714"/>
          <c:h val="0.91628614916286144"/>
        </c:manualLayout>
      </c:layout>
      <c:barChart>
        <c:barDir val="bar"/>
        <c:grouping val="clustered"/>
        <c:varyColors val="0"/>
        <c:ser>
          <c:idx val="0"/>
          <c:order val="0"/>
          <c:tx>
            <c:strRef>
              <c:f>' Pivot Table'!$E$3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IN" sz="11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Table'!$D$4</c:f>
              <c:strCache>
                <c:ptCount val="1"/>
                <c:pt idx="0">
                  <c:v>Grand Total</c:v>
                </c:pt>
              </c:strCache>
            </c:strRef>
          </c:cat>
          <c:val>
            <c:numRef>
              <c:f>' Pivot Table'!$E$4</c:f>
              <c:numCache>
                <c:formatCode>"₹"\ ##\.##,"L"</c:formatCode>
                <c:ptCount val="1"/>
              </c:numCache>
            </c:numRef>
          </c:val>
          <c:extLst>
            <c:ext xmlns:c16="http://schemas.microsoft.com/office/drawing/2014/chart" uri="{C3380CC4-5D6E-409C-BE32-E72D297353CC}">
              <c16:uniqueId val="{00000000-C3FD-44EC-9621-A8C52D1B049C}"/>
            </c:ext>
          </c:extLst>
        </c:ser>
        <c:dLbls>
          <c:dLblPos val="inEnd"/>
          <c:showLegendKey val="0"/>
          <c:showVal val="1"/>
          <c:showCatName val="0"/>
          <c:showSerName val="0"/>
          <c:showPercent val="0"/>
          <c:showBubbleSize val="0"/>
        </c:dLbls>
        <c:gapWidth val="70"/>
        <c:axId val="1969195056"/>
        <c:axId val="1686882752"/>
      </c:barChart>
      <c:catAx>
        <c:axId val="19691950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1"/>
                </a:solidFill>
                <a:latin typeface="+mn-lt"/>
                <a:ea typeface="+mn-ea"/>
                <a:cs typeface="+mn-cs"/>
              </a:defRPr>
            </a:pPr>
            <a:endParaRPr lang="en-US"/>
          </a:p>
        </c:txPr>
        <c:crossAx val="1686882752"/>
        <c:crosses val="autoZero"/>
        <c:auto val="1"/>
        <c:lblAlgn val="ctr"/>
        <c:lblOffset val="100"/>
        <c:noMultiLvlLbl val="0"/>
      </c:catAx>
      <c:valAx>
        <c:axId val="1686882752"/>
        <c:scaling>
          <c:orientation val="minMax"/>
        </c:scaling>
        <c:delete val="1"/>
        <c:axPos val="b"/>
        <c:numFmt formatCode="&quot;₹&quot;\ ##\.##,&quot;L&quot;" sourceLinked="1"/>
        <c:majorTickMark val="out"/>
        <c:minorTickMark val="none"/>
        <c:tickLblPos val="nextTo"/>
        <c:crossAx val="1969195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[danny pivot.xlsx] Pivot Table!PivotTable3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103995621237001E-2"/>
          <c:y val="5.0925925925925923E-2"/>
          <c:w val="0.939792008757526"/>
          <c:h val="0.8416746864975212"/>
        </c:manualLayout>
      </c:layout>
      <c:barChart>
        <c:barDir val="col"/>
        <c:grouping val="clustered"/>
        <c:varyColors val="0"/>
        <c:ser>
          <c:idx val="0"/>
          <c:order val="0"/>
          <c:tx>
            <c:strRef>
              <c:f>' Pivot Table'!$H$3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Table'!$G$4</c:f>
              <c:strCache>
                <c:ptCount val="1"/>
                <c:pt idx="0">
                  <c:v>Grand Total</c:v>
                </c:pt>
              </c:strCache>
            </c:strRef>
          </c:cat>
          <c:val>
            <c:numRef>
              <c:f>' Pivot Table'!$H$4</c:f>
              <c:numCache>
                <c:formatCode>"₹"\ ##\.##,"L"</c:formatCode>
                <c:ptCount val="1"/>
              </c:numCache>
            </c:numRef>
          </c:val>
          <c:extLst>
            <c:ext xmlns:c16="http://schemas.microsoft.com/office/drawing/2014/chart" uri="{C3380CC4-5D6E-409C-BE32-E72D297353CC}">
              <c16:uniqueId val="{00000000-71B0-47E6-B1C7-A4B1C1A5ADDF}"/>
            </c:ext>
          </c:extLst>
        </c:ser>
        <c:dLbls>
          <c:dLblPos val="outEnd"/>
          <c:showLegendKey val="0"/>
          <c:showVal val="1"/>
          <c:showCatName val="0"/>
          <c:showSerName val="0"/>
          <c:showPercent val="0"/>
          <c:showBubbleSize val="0"/>
        </c:dLbls>
        <c:gapWidth val="70"/>
        <c:overlap val="-27"/>
        <c:axId val="2061330720"/>
        <c:axId val="1590950496"/>
      </c:barChart>
      <c:catAx>
        <c:axId val="2061330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accent1"/>
                </a:solidFill>
                <a:latin typeface="+mn-lt"/>
                <a:ea typeface="+mn-ea"/>
                <a:cs typeface="+mn-cs"/>
              </a:defRPr>
            </a:pPr>
            <a:endParaRPr lang="en-US"/>
          </a:p>
        </c:txPr>
        <c:crossAx val="1590950496"/>
        <c:crosses val="autoZero"/>
        <c:auto val="1"/>
        <c:lblAlgn val="ctr"/>
        <c:lblOffset val="100"/>
        <c:noMultiLvlLbl val="0"/>
      </c:catAx>
      <c:valAx>
        <c:axId val="1590950496"/>
        <c:scaling>
          <c:orientation val="minMax"/>
        </c:scaling>
        <c:delete val="1"/>
        <c:axPos val="l"/>
        <c:numFmt formatCode="&quot;₹&quot;\ ##\.##,&quot;L&quot;" sourceLinked="1"/>
        <c:majorTickMark val="none"/>
        <c:minorTickMark val="none"/>
        <c:tickLblPos val="nextTo"/>
        <c:crossAx val="2061330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[danny pivot.xlsx] Pivot Table!PivotTable2</c:name>
    <c:fmtId val="0"/>
  </c:pivotSource>
  <c:chart>
    <c:autoTitleDeleted val="1"/>
    <c:pivotFmts>
      <c:pivotFmt>
        <c:idx val="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90335079082857"/>
          <c:y val="4.1856925418569252E-2"/>
          <c:w val="0.81618806908395714"/>
          <c:h val="0.91628614916286144"/>
        </c:manualLayout>
      </c:layout>
      <c:barChart>
        <c:barDir val="bar"/>
        <c:grouping val="clustered"/>
        <c:varyColors val="0"/>
        <c:ser>
          <c:idx val="0"/>
          <c:order val="0"/>
          <c:tx>
            <c:strRef>
              <c:f>' Pivot Table'!$E$3</c:f>
              <c:strCache>
                <c:ptCount val="1"/>
                <c:pt idx="0">
                  <c:v>Total</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Table'!$D$4</c:f>
              <c:strCache>
                <c:ptCount val="1"/>
                <c:pt idx="0">
                  <c:v>Grand Total</c:v>
                </c:pt>
              </c:strCache>
            </c:strRef>
          </c:cat>
          <c:val>
            <c:numRef>
              <c:f>' Pivot Table'!$E$4</c:f>
              <c:numCache>
                <c:formatCode>"₹"\ ##\.##,"L"</c:formatCode>
                <c:ptCount val="1"/>
              </c:numCache>
            </c:numRef>
          </c:val>
          <c:extLst>
            <c:ext xmlns:c16="http://schemas.microsoft.com/office/drawing/2014/chart" uri="{C3380CC4-5D6E-409C-BE32-E72D297353CC}">
              <c16:uniqueId val="{00000000-7300-4B60-92EA-9B0B431745B8}"/>
            </c:ext>
          </c:extLst>
        </c:ser>
        <c:dLbls>
          <c:dLblPos val="inEnd"/>
          <c:showLegendKey val="0"/>
          <c:showVal val="1"/>
          <c:showCatName val="0"/>
          <c:showSerName val="0"/>
          <c:showPercent val="0"/>
          <c:showBubbleSize val="0"/>
        </c:dLbls>
        <c:gapWidth val="70"/>
        <c:axId val="1969195056"/>
        <c:axId val="1686882752"/>
      </c:barChart>
      <c:catAx>
        <c:axId val="196919505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86882752"/>
        <c:crosses val="autoZero"/>
        <c:auto val="1"/>
        <c:lblAlgn val="ctr"/>
        <c:lblOffset val="100"/>
        <c:noMultiLvlLbl val="0"/>
      </c:catAx>
      <c:valAx>
        <c:axId val="1686882752"/>
        <c:scaling>
          <c:orientation val="minMax"/>
        </c:scaling>
        <c:delete val="1"/>
        <c:axPos val="b"/>
        <c:numFmt formatCode="&quot;₹&quot;\ ##\.##,&quot;L&quot;" sourceLinked="1"/>
        <c:majorTickMark val="out"/>
        <c:minorTickMark val="none"/>
        <c:tickLblPos val="nextTo"/>
        <c:crossAx val="1969195056"/>
        <c:crosses val="autoZero"/>
        <c:crossBetween val="between"/>
      </c:valAx>
      <c:spPr>
        <a:solidFill>
          <a:schemeClr val="tx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[danny pivot.xlsx] Pivot Table!PivotTable3</c:name>
    <c:fmtId val="1"/>
  </c:pivotSource>
  <c:chart>
    <c:autoTitleDeleted val="1"/>
    <c:pivotFmts>
      <c:pivotFmt>
        <c:idx val="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Pivot Table'!$H$3</c:f>
              <c:strCache>
                <c:ptCount val="1"/>
                <c:pt idx="0">
                  <c:v>Total</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Table'!$G$4</c:f>
              <c:strCache>
                <c:ptCount val="1"/>
                <c:pt idx="0">
                  <c:v>Grand Total</c:v>
                </c:pt>
              </c:strCache>
            </c:strRef>
          </c:cat>
          <c:val>
            <c:numRef>
              <c:f>' Pivot Table'!$H$4</c:f>
              <c:numCache>
                <c:formatCode>"₹"\ ##\.##,"L"</c:formatCode>
                <c:ptCount val="1"/>
              </c:numCache>
            </c:numRef>
          </c:val>
          <c:extLst>
            <c:ext xmlns:c16="http://schemas.microsoft.com/office/drawing/2014/chart" uri="{C3380CC4-5D6E-409C-BE32-E72D297353CC}">
              <c16:uniqueId val="{00000000-D63C-4206-BFC0-C0EFA707B4CF}"/>
            </c:ext>
          </c:extLst>
        </c:ser>
        <c:dLbls>
          <c:dLblPos val="outEnd"/>
          <c:showLegendKey val="0"/>
          <c:showVal val="1"/>
          <c:showCatName val="0"/>
          <c:showSerName val="0"/>
          <c:showPercent val="0"/>
          <c:showBubbleSize val="0"/>
        </c:dLbls>
        <c:gapWidth val="70"/>
        <c:overlap val="-27"/>
        <c:axId val="2061330720"/>
        <c:axId val="1590950496"/>
      </c:barChart>
      <c:catAx>
        <c:axId val="2061330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90950496"/>
        <c:crosses val="autoZero"/>
        <c:auto val="1"/>
        <c:lblAlgn val="ctr"/>
        <c:lblOffset val="100"/>
        <c:noMultiLvlLbl val="0"/>
      </c:catAx>
      <c:valAx>
        <c:axId val="1590950496"/>
        <c:scaling>
          <c:orientation val="minMax"/>
        </c:scaling>
        <c:delete val="1"/>
        <c:axPos val="l"/>
        <c:numFmt formatCode="&quot;₹&quot;\ ##\.##,&quot;L&quot;" sourceLinked="1"/>
        <c:majorTickMark val="none"/>
        <c:minorTickMark val="none"/>
        <c:tickLblPos val="nextTo"/>
        <c:crossAx val="2061330720"/>
        <c:crosses val="autoZero"/>
        <c:crossBetween val="between"/>
      </c:valAx>
      <c:spPr>
        <a:solidFill>
          <a:schemeClr val="tx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[danny pivot.xlsx] Pivot Table!PivotTable4</c:name>
    <c:fmtId val="2"/>
  </c:pivotSource>
  <c:chart>
    <c:autoTitleDeleted val="1"/>
    <c:pivotFmts>
      <c:pivotFmt>
        <c:idx val="0"/>
        <c:spPr>
          <a:ln w="28575" cap="rnd">
            <a:solidFill>
              <a:schemeClr val="accent5">
                <a:lumMod val="75000"/>
              </a:schemeClr>
            </a:solidFill>
            <a:round/>
          </a:ln>
          <a:effectLst/>
        </c:spPr>
        <c:marker>
          <c:symbol val="circle"/>
          <c:size val="10"/>
          <c:spPr>
            <a:solidFill>
              <a:srgbClr val="FFFF00"/>
            </a:solidFill>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5">
                <a:lumMod val="75000"/>
              </a:schemeClr>
            </a:solidFill>
            <a:round/>
          </a:ln>
          <a:effectLst/>
        </c:spPr>
        <c:marker>
          <c:symbol val="circle"/>
          <c:size val="10"/>
          <c:spPr>
            <a:solidFill>
              <a:srgbClr val="FFFF00"/>
            </a:solidFill>
            <a:ln w="9525">
              <a:solidFill>
                <a:schemeClr val="accent1"/>
              </a:solidFill>
            </a:ln>
            <a:effectLst/>
          </c:spPr>
        </c:marker>
      </c:pivotFmt>
      <c:pivotFmt>
        <c:idx val="2"/>
        <c:spPr>
          <a:solidFill>
            <a:schemeClr val="accent1"/>
          </a:solidFill>
          <a:ln w="28575" cap="rnd">
            <a:solidFill>
              <a:schemeClr val="accent5">
                <a:lumMod val="75000"/>
              </a:schemeClr>
            </a:solidFill>
            <a:round/>
          </a:ln>
          <a:effectLst/>
        </c:spPr>
        <c:marker>
          <c:symbol val="circle"/>
          <c:size val="10"/>
          <c:spPr>
            <a:solidFill>
              <a:srgbClr val="FFFF00"/>
            </a:solidFill>
            <a:ln w="9525">
              <a:solidFill>
                <a:schemeClr val="accent2"/>
              </a:solidFill>
            </a:ln>
            <a:effectLst/>
          </c:spPr>
        </c:marker>
      </c:pivotFmt>
      <c:pivotFmt>
        <c:idx val="3"/>
        <c:spPr>
          <a:solidFill>
            <a:schemeClr val="accent1"/>
          </a:solidFill>
          <a:ln w="28575" cap="rnd">
            <a:solidFill>
              <a:schemeClr val="accent5">
                <a:lumMod val="75000"/>
              </a:schemeClr>
            </a:solidFill>
            <a:round/>
          </a:ln>
          <a:effectLst/>
        </c:spPr>
        <c:marker>
          <c:symbol val="circle"/>
          <c:size val="10"/>
          <c:spPr>
            <a:solidFill>
              <a:srgbClr val="FFFF00"/>
            </a:solidFill>
            <a:ln w="9525">
              <a:solidFill>
                <a:schemeClr val="accent3"/>
              </a:solidFill>
            </a:ln>
            <a:effectLst/>
          </c:spPr>
        </c:marker>
      </c:pivotFmt>
      <c:pivotFmt>
        <c:idx val="4"/>
        <c:spPr>
          <a:solidFill>
            <a:schemeClr val="accent1"/>
          </a:solidFill>
          <a:ln w="28575" cap="rnd">
            <a:solidFill>
              <a:schemeClr val="accent5">
                <a:lumMod val="75000"/>
              </a:schemeClr>
            </a:solidFill>
            <a:round/>
          </a:ln>
          <a:effectLst/>
        </c:spPr>
        <c:marker>
          <c:symbol val="circle"/>
          <c:size val="10"/>
          <c:spPr>
            <a:solidFill>
              <a:srgbClr val="FFFF00"/>
            </a:solidFill>
            <a:ln w="9525">
              <a:solidFill>
                <a:schemeClr val="accent4"/>
              </a:solidFill>
            </a:ln>
            <a:effectLst/>
          </c:spPr>
        </c:marker>
      </c:pivotFmt>
      <c:pivotFmt>
        <c:idx val="5"/>
        <c:spPr>
          <a:solidFill>
            <a:schemeClr val="accent1"/>
          </a:solidFill>
          <a:ln w="28575" cap="rnd">
            <a:solidFill>
              <a:schemeClr val="accent5">
                <a:lumMod val="75000"/>
              </a:schemeClr>
            </a:solidFill>
            <a:round/>
          </a:ln>
          <a:effectLst/>
        </c:spPr>
        <c:marker>
          <c:symbol val="circle"/>
          <c:size val="10"/>
          <c:spPr>
            <a:solidFill>
              <a:srgbClr val="FFFF00"/>
            </a:solidFill>
            <a:ln w="9525">
              <a:solidFill>
                <a:schemeClr val="accent5"/>
              </a:solidFill>
            </a:ln>
            <a:effectLst/>
          </c:spPr>
        </c:marker>
      </c:pivotFmt>
      <c:pivotFmt>
        <c:idx val="6"/>
        <c:spPr>
          <a:solidFill>
            <a:schemeClr val="accent1"/>
          </a:solidFill>
          <a:ln w="28575" cap="rnd">
            <a:solidFill>
              <a:schemeClr val="accent5">
                <a:lumMod val="75000"/>
              </a:schemeClr>
            </a:solidFill>
            <a:round/>
          </a:ln>
          <a:effectLst/>
        </c:spPr>
        <c:marker>
          <c:symbol val="circle"/>
          <c:size val="10"/>
          <c:spPr>
            <a:solidFill>
              <a:srgbClr val="FFFF00"/>
            </a:solidFill>
            <a:ln w="9525">
              <a:solidFill>
                <a:schemeClr val="accent6"/>
              </a:solidFill>
            </a:ln>
            <a:effectLst/>
          </c:spPr>
        </c:marker>
      </c:pivotFmt>
      <c:pivotFmt>
        <c:idx val="7"/>
        <c:spPr>
          <a:solidFill>
            <a:schemeClr val="accent1"/>
          </a:solidFill>
          <a:ln w="28575" cap="rnd">
            <a:solidFill>
              <a:schemeClr val="accent5">
                <a:lumMod val="75000"/>
              </a:schemeClr>
            </a:solidFill>
            <a:round/>
          </a:ln>
          <a:effectLst/>
        </c:spPr>
        <c:marker>
          <c:symbol val="circle"/>
          <c:size val="10"/>
          <c:spPr>
            <a:solidFill>
              <a:srgbClr val="FFFF00"/>
            </a:solidFill>
            <a:ln w="9525">
              <a:solidFill>
                <a:schemeClr val="accent1">
                  <a:lumMod val="60000"/>
                </a:schemeClr>
              </a:solidFill>
            </a:ln>
            <a:effectLst/>
          </c:spPr>
        </c:marker>
      </c:pivotFmt>
      <c:pivotFmt>
        <c:idx val="8"/>
        <c:spPr>
          <a:solidFill>
            <a:schemeClr val="accent1"/>
          </a:solidFill>
          <a:ln w="28575" cap="rnd">
            <a:solidFill>
              <a:schemeClr val="accent5">
                <a:lumMod val="75000"/>
              </a:schemeClr>
            </a:solidFill>
            <a:round/>
          </a:ln>
          <a:effectLst/>
        </c:spPr>
        <c:marker>
          <c:symbol val="circle"/>
          <c:size val="10"/>
          <c:spPr>
            <a:solidFill>
              <a:srgbClr val="FFFF00"/>
            </a:solidFill>
            <a:ln w="9525">
              <a:solidFill>
                <a:schemeClr val="accent1"/>
              </a:solidFill>
            </a:ln>
            <a:effectLst/>
          </c:spPr>
        </c:marker>
      </c:pivotFmt>
      <c:pivotFmt>
        <c:idx val="9"/>
        <c:spPr>
          <a:ln w="28575" cap="rnd">
            <a:solidFill>
              <a:schemeClr val="accent5">
                <a:lumMod val="75000"/>
              </a:schemeClr>
            </a:solidFill>
            <a:round/>
          </a:ln>
          <a:effectLst/>
        </c:spPr>
        <c:marker>
          <c:symbol val="circle"/>
          <c:size val="10"/>
          <c:spPr>
            <a:solidFill>
              <a:srgbClr val="FFFF00"/>
            </a:solidFill>
            <a:ln w="9525">
              <a:solidFill>
                <a:schemeClr val="accent1"/>
              </a:solidFill>
            </a:ln>
            <a:effectLst/>
          </c:spPr>
        </c:marker>
      </c:pivotFmt>
    </c:pivotFmts>
    <c:plotArea>
      <c:layout/>
      <c:lineChart>
        <c:grouping val="standard"/>
        <c:varyColors val="1"/>
        <c:ser>
          <c:idx val="0"/>
          <c:order val="0"/>
          <c:tx>
            <c:strRef>
              <c:f>' Pivot Table'!$K$3</c:f>
              <c:strCache>
                <c:ptCount val="1"/>
                <c:pt idx="0">
                  <c:v>Total</c:v>
                </c:pt>
              </c:strCache>
            </c:strRef>
          </c:tx>
          <c:spPr>
            <a:ln>
              <a:solidFill>
                <a:schemeClr val="accent5">
                  <a:lumMod val="75000"/>
                </a:schemeClr>
              </a:solidFill>
            </a:ln>
          </c:spPr>
          <c:marker>
            <c:symbol val="circle"/>
            <c:size val="10"/>
            <c:spPr>
              <a:solidFill>
                <a:srgbClr val="FFFF00"/>
              </a:solidFill>
            </c:spPr>
          </c:marker>
          <c:dPt>
            <c:idx val="0"/>
            <c:marker>
              <c:symbol val="circle"/>
              <c:size val="10"/>
              <c:spPr>
                <a:solidFill>
                  <a:srgbClr val="FFFF00"/>
                </a:solidFill>
                <a:ln w="9525">
                  <a:solidFill>
                    <a:schemeClr val="accent1"/>
                  </a:solidFill>
                </a:ln>
                <a:effectLst/>
              </c:spPr>
            </c:marker>
            <c:bubble3D val="0"/>
            <c:spPr>
              <a:ln w="28575" cap="rnd">
                <a:solidFill>
                  <a:schemeClr val="accent5">
                    <a:lumMod val="75000"/>
                  </a:schemeClr>
                </a:solidFill>
                <a:round/>
              </a:ln>
              <a:effectLst/>
            </c:spPr>
            <c:extLst>
              <c:ext xmlns:c16="http://schemas.microsoft.com/office/drawing/2014/chart" uri="{C3380CC4-5D6E-409C-BE32-E72D297353CC}">
                <c16:uniqueId val="{00000001-EE21-4320-A422-139882499189}"/>
              </c:ext>
            </c:extLst>
          </c:dPt>
          <c:dPt>
            <c:idx val="1"/>
            <c:marker>
              <c:symbol val="circle"/>
              <c:size val="10"/>
              <c:spPr>
                <a:solidFill>
                  <a:srgbClr val="FFFF00"/>
                </a:solidFill>
                <a:ln w="9525">
                  <a:solidFill>
                    <a:schemeClr val="accent2"/>
                  </a:solidFill>
                </a:ln>
                <a:effectLst/>
              </c:spPr>
            </c:marker>
            <c:bubble3D val="0"/>
            <c:spPr>
              <a:ln w="28575" cap="rnd">
                <a:solidFill>
                  <a:schemeClr val="accent5">
                    <a:lumMod val="75000"/>
                  </a:schemeClr>
                </a:solidFill>
                <a:round/>
              </a:ln>
              <a:effectLst/>
            </c:spPr>
            <c:extLst>
              <c:ext xmlns:c16="http://schemas.microsoft.com/office/drawing/2014/chart" uri="{C3380CC4-5D6E-409C-BE32-E72D297353CC}">
                <c16:uniqueId val="{00000003-EE21-4320-A422-139882499189}"/>
              </c:ext>
            </c:extLst>
          </c:dPt>
          <c:dPt>
            <c:idx val="2"/>
            <c:marker>
              <c:symbol val="circle"/>
              <c:size val="10"/>
              <c:spPr>
                <a:solidFill>
                  <a:srgbClr val="FFFF00"/>
                </a:solidFill>
                <a:ln w="9525">
                  <a:solidFill>
                    <a:schemeClr val="accent3"/>
                  </a:solidFill>
                </a:ln>
                <a:effectLst/>
              </c:spPr>
            </c:marker>
            <c:bubble3D val="0"/>
            <c:spPr>
              <a:ln w="28575" cap="rnd">
                <a:solidFill>
                  <a:schemeClr val="accent5">
                    <a:lumMod val="75000"/>
                  </a:schemeClr>
                </a:solidFill>
                <a:round/>
              </a:ln>
              <a:effectLst/>
            </c:spPr>
            <c:extLst>
              <c:ext xmlns:c16="http://schemas.microsoft.com/office/drawing/2014/chart" uri="{C3380CC4-5D6E-409C-BE32-E72D297353CC}">
                <c16:uniqueId val="{00000005-EE21-4320-A422-139882499189}"/>
              </c:ext>
            </c:extLst>
          </c:dPt>
          <c:dPt>
            <c:idx val="3"/>
            <c:marker>
              <c:symbol val="circle"/>
              <c:size val="10"/>
              <c:spPr>
                <a:solidFill>
                  <a:srgbClr val="FFFF00"/>
                </a:solidFill>
                <a:ln w="9525">
                  <a:solidFill>
                    <a:schemeClr val="accent4"/>
                  </a:solidFill>
                </a:ln>
                <a:effectLst/>
              </c:spPr>
            </c:marker>
            <c:bubble3D val="0"/>
            <c:spPr>
              <a:ln w="28575" cap="rnd">
                <a:solidFill>
                  <a:schemeClr val="accent5">
                    <a:lumMod val="75000"/>
                  </a:schemeClr>
                </a:solidFill>
                <a:round/>
              </a:ln>
              <a:effectLst/>
            </c:spPr>
            <c:extLst>
              <c:ext xmlns:c16="http://schemas.microsoft.com/office/drawing/2014/chart" uri="{C3380CC4-5D6E-409C-BE32-E72D297353CC}">
                <c16:uniqueId val="{00000007-EE21-4320-A422-139882499189}"/>
              </c:ext>
            </c:extLst>
          </c:dPt>
          <c:dPt>
            <c:idx val="4"/>
            <c:marker>
              <c:symbol val="circle"/>
              <c:size val="10"/>
              <c:spPr>
                <a:solidFill>
                  <a:srgbClr val="FFFF00"/>
                </a:solidFill>
                <a:ln w="9525">
                  <a:solidFill>
                    <a:schemeClr val="accent5"/>
                  </a:solidFill>
                </a:ln>
                <a:effectLst/>
              </c:spPr>
            </c:marker>
            <c:bubble3D val="0"/>
            <c:spPr>
              <a:ln w="28575" cap="rnd">
                <a:solidFill>
                  <a:schemeClr val="accent5">
                    <a:lumMod val="75000"/>
                  </a:schemeClr>
                </a:solidFill>
                <a:round/>
              </a:ln>
              <a:effectLst/>
            </c:spPr>
            <c:extLst>
              <c:ext xmlns:c16="http://schemas.microsoft.com/office/drawing/2014/chart" uri="{C3380CC4-5D6E-409C-BE32-E72D297353CC}">
                <c16:uniqueId val="{00000009-EE21-4320-A422-139882499189}"/>
              </c:ext>
            </c:extLst>
          </c:dPt>
          <c:dPt>
            <c:idx val="5"/>
            <c:marker>
              <c:symbol val="circle"/>
              <c:size val="10"/>
              <c:spPr>
                <a:solidFill>
                  <a:srgbClr val="FFFF00"/>
                </a:solidFill>
                <a:ln w="9525">
                  <a:solidFill>
                    <a:schemeClr val="accent6"/>
                  </a:solidFill>
                </a:ln>
                <a:effectLst/>
              </c:spPr>
            </c:marker>
            <c:bubble3D val="0"/>
            <c:spPr>
              <a:ln w="28575" cap="rnd">
                <a:solidFill>
                  <a:schemeClr val="accent5">
                    <a:lumMod val="75000"/>
                  </a:schemeClr>
                </a:solidFill>
                <a:round/>
              </a:ln>
              <a:effectLst/>
            </c:spPr>
            <c:extLst>
              <c:ext xmlns:c16="http://schemas.microsoft.com/office/drawing/2014/chart" uri="{C3380CC4-5D6E-409C-BE32-E72D297353CC}">
                <c16:uniqueId val="{0000000B-EE21-4320-A422-139882499189}"/>
              </c:ext>
            </c:extLst>
          </c:dPt>
          <c:dPt>
            <c:idx val="6"/>
            <c:marker>
              <c:symbol val="circle"/>
              <c:size val="10"/>
              <c:spPr>
                <a:solidFill>
                  <a:srgbClr val="FFFF00"/>
                </a:solidFill>
                <a:ln w="9525">
                  <a:solidFill>
                    <a:schemeClr val="accent1">
                      <a:lumMod val="60000"/>
                    </a:schemeClr>
                  </a:solidFill>
                </a:ln>
                <a:effectLst/>
              </c:spPr>
            </c:marker>
            <c:bubble3D val="0"/>
            <c:spPr>
              <a:ln w="28575" cap="rnd">
                <a:solidFill>
                  <a:schemeClr val="accent5">
                    <a:lumMod val="75000"/>
                  </a:schemeClr>
                </a:solidFill>
                <a:round/>
              </a:ln>
              <a:effectLst/>
            </c:spPr>
            <c:extLst>
              <c:ext xmlns:c16="http://schemas.microsoft.com/office/drawing/2014/chart" uri="{C3380CC4-5D6E-409C-BE32-E72D297353CC}">
                <c16:uniqueId val="{0000000D-EE21-4320-A422-139882499189}"/>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Pivot Table'!$J$4</c:f>
              <c:strCache>
                <c:ptCount val="1"/>
                <c:pt idx="0">
                  <c:v>Grand Total</c:v>
                </c:pt>
              </c:strCache>
            </c:strRef>
          </c:cat>
          <c:val>
            <c:numRef>
              <c:f>' Pivot Table'!$K$4</c:f>
              <c:numCache>
                <c:formatCode>General</c:formatCode>
                <c:ptCount val="1"/>
              </c:numCache>
            </c:numRef>
          </c:val>
          <c:smooth val="1"/>
          <c:extLst>
            <c:ext xmlns:c16="http://schemas.microsoft.com/office/drawing/2014/chart" uri="{C3380CC4-5D6E-409C-BE32-E72D297353CC}">
              <c16:uniqueId val="{00000000-D0E6-4700-8FAA-A80241CECDA2}"/>
            </c:ext>
          </c:extLst>
        </c:ser>
        <c:dLbls>
          <c:dLblPos val="t"/>
          <c:showLegendKey val="0"/>
          <c:showVal val="1"/>
          <c:showCatName val="0"/>
          <c:showSerName val="0"/>
          <c:showPercent val="0"/>
          <c:showBubbleSize val="0"/>
        </c:dLbls>
        <c:marker val="1"/>
        <c:smooth val="0"/>
        <c:axId val="1687323648"/>
        <c:axId val="1585320832"/>
      </c:lineChart>
      <c:catAx>
        <c:axId val="1687323648"/>
        <c:scaling>
          <c:orientation val="minMax"/>
        </c:scaling>
        <c:delete val="0"/>
        <c:axPos val="b"/>
        <c:numFmt formatCode="General" sourceLinked="1"/>
        <c:majorTickMark val="none"/>
        <c:minorTickMark val="none"/>
        <c:tickLblPos val="nextTo"/>
        <c:spPr>
          <a:solidFill>
            <a:schemeClr val="tx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85320832"/>
        <c:crosses val="autoZero"/>
        <c:auto val="1"/>
        <c:lblAlgn val="ctr"/>
        <c:lblOffset val="100"/>
        <c:noMultiLvlLbl val="0"/>
      </c:catAx>
      <c:valAx>
        <c:axId val="1585320832"/>
        <c:scaling>
          <c:orientation val="minMax"/>
        </c:scaling>
        <c:delete val="1"/>
        <c:axPos val="l"/>
        <c:numFmt formatCode="General" sourceLinked="1"/>
        <c:majorTickMark val="none"/>
        <c:minorTickMark val="none"/>
        <c:tickLblPos val="nextTo"/>
        <c:crossAx val="1687323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ln>
              <a:noFill/>
            </a:ln>
          </cx:spPr>
        </cx:plotSurface>
        <cx:series layoutId="regionMap" uniqueId="{12AA8AEB-C8D6-42A6-86DD-682A9E8D1791}">
          <cx:spPr>
            <a:noFill/>
          </cx:spPr>
          <cx:dataPt idx="0">
            <cx:spPr>
              <a:solidFill>
                <a:srgbClr val="2A4F1C"/>
              </a:solidFill>
            </cx:spPr>
          </cx:dataPt>
          <cx:dataPt idx="1">
            <cx:spPr>
              <a:solidFill>
                <a:srgbClr val="2A4F1C"/>
              </a:solidFill>
              <a:ln>
                <a:noFill/>
              </a:ln>
            </cx:spPr>
          </cx:dataPt>
          <cx:dataPt idx="2">
            <cx:spPr>
              <a:solidFill>
                <a:srgbClr val="2A4F1C"/>
              </a:solidFill>
              <a:ln>
                <a:noFill/>
              </a:ln>
            </cx:spPr>
          </cx:dataPt>
          <cx:dataLabels>
            <cx:spPr>
              <a:solidFill>
                <a:srgbClr val="2A4F1C"/>
              </a:solidFill>
            </cx:spPr>
            <cx:visibility seriesName="0" categoryName="0" value="1"/>
            <cx:separator>, </cx:separator>
          </cx:dataLabels>
          <cx:dataId val="0"/>
          <cx:layoutPr>
            <cx:regionLabelLayout val="none"/>
            <cx:geography cultureLanguage="en-US" cultureRegion="IN" attribution="Powered by Bing">
              <cx:geoCache provider="{E9337A44-BEBE-4D9F-B70C-5C5E7DAFC167}">
                <cx:binary>1Hprj902su1fMfz5yKFIkSIHkwEuJe1Hv90Pd9tfhHa7WyIlUiIl6vXrTznO5MQdTzKDiwPca9gw
9taWWKwqVq21Sn9/Wv721D4/+jeLae3wt6fl57f1OPZ/++mn4al+No/DO6OefDd0L+O7p8781L28
qKfnn774x1nZ6ieM4uSnp/rRj8/L23/8HZ5WPXdn3dPjqDr7Pjz79fp5CO04/Mm1H15689QFO369
vYIn/fz2/nkY3755/GKUzdUwevU0xj+/PX+EpR+HevSPb98821GN6+3aP//89rsfvn3z0+s1/mDP
mxZMHsMXuDcW7xKKESdUoF/+xG/ftJ2tfr2csncx4oLgRHz7Q/+59MWjgdv/TZt+sejxyxf/PAyw
r1/+f3Xzd5uAa4e3r71ytF8U7FwNXfbNXVn3dQfHi1+2/NP34fjH3199AU549c3vIvbaY3916bVp
xeOPAvY1jG/ks60e23967f8+YJi84zSJKUrT7yLF03cixUwk5MeR+jeN+XGkvrv5VaTu5f9Pkbro
/Fj/8Wzlz22t/ipI/3v5c9OFH1l1+2hU++bi8Uv4K9O+T/4/PfDxOxSzGCHOv8uflL9LUIowopBX
36rLtyP+7xnx47z5/b2v0uYWju2rsvf/8AH/1bTfV93vjP8Pqy7G7wjFFGGOv1Vd/H0sxDvCCEsR
od8uvwrJX1rz42j8ett3hkP9/N8sq//6yPyWo/nj+Fj80s1+V3X//Oo/y/WrW/+sKX6L3PHLz2/T
BFod4zHGUEUxoTGGlvdbz/z6yO/SP3+E9v/m0X6Bc1gBdDg8Ts+tevN/4Iv80TzaXy7l6rcT+i+X
eIYeAauTdxin0E7jhEINBzPevpmhT8AV9I6nUNdpSlKCEvb1fNqv1erntxi9SxMSYwEXwGyGxNs3
w9eS8csllCQMngfb+fpI/hsyueratersb6789fMbG8xVp+w4QPcn0M/7b7/71XDOSQJAh8QswTQV
YET/9HgN8Ofrz//LlXrWFduSopzvwtqdi9t4V+1qknklVZlxnSm6Q8M1ubOLFCHb9N3g1E6Z+3IZ
c1VGGZ+SDDXmkyinvKkPtRlkiHYp9/up57IczLHmn9clyeu+0jKo+zB/wmosotUzibYb0kdyxusl
qf2ORCc9f/FL1h5Kdjvhi+pLbVtp6dk6NtLO550PWclejGVZ47GsI6lidqR6NFKg+GIyNl/nKGvr
dW9YoyVbQrYkekejPWLa73Q8VlkX2oul/mTFJpmdPyNh74YRvTduq3NVpVxSsvbFkOossU9je8n4
NMowNaOM9SBJNcu2dtKvck7xVaz1TdVuR0L8Dq34ECXmpEGszZg5I0uss6HvL4fgG+kqn4coKphG
V23cyqXXWkake6YhsZl1yUekoz2EqZi6quhEJXU575Kh2a3JmvlxyTXzedsM50SNVyMjF3FJnpqU
XS0d2DqvK5V9jD8sar3rom2HjSiqJNFS8ySWNUuNZBM8tarVVWX6IJ0YBplwdeGGOdPL+e+OzY9y
KyavcwvOHbQYlMZxmqSMvcqtZkLDorpIFMtm7vwYdVmSDFfLRA/1zApAqS5vU3YyNnbf9pfULHsa
J6ej4SFfEZmkGSYry1IcmWoPTYR2Ksw7r5tShpJckanbLQu9IQn1Uushd0SdOnuKQrL3vT2N110c
8cKuvezV9p629YGnc+FjcTFCCPtVvSSeXtPmYwRuLgPNlDe7Sje7Kq4z78fczSTv9HDGRZrjpcsr
Hx36DV156ncTSa5WJM5YUp0va5BiMXtTj7e6LzNIyf0mTpL4E6OT1Fs4cWy7QN1sZdRVTqbpUksB
WdmsdtdP6ozb89S1+6j0khr+2YzroW3RoZqHCs7SgLImbGfbMhacl49rT3edDdLAA2VAapBRvJ5A
ubjHuLrQ9hZ7f+7L5DDE861dPm2aLqc9XrtM2zj96EoSZFS3D5EmRd3He6YhRWaW7GImDo74L2gB
GyezXlZrKCUvO5qLkYRTNzvZs+3Tn6cJTn6QJSQVBAAKNEeRQO/7fQXaOsQbP9uyYF3zXEXhvgT3
lT7+5HydbZM/iVN/7crmYgvTZTX4o56XC6USGTeD240uPWuo0Lke+qPfxGWNDdSu8Xrgwub12Fzp
enrpqf2L7E7I6+xmULkhv6GAQ4MB0oS+t3voXdtPsS4Ll/pUakxOygYMpl22hK2VvqWybGu+H6Eu
9hU7RAaKlIvDI053S2/3rm5XmUYbld7NW9anKeRshYsOq0MaNJaYtRermm6gsO5Ju1wpHW76KL7b
SJUbj79UdLkxySBLwse8q/0oS9XAwmzsioVzKI0TfkGhDrIax+iMmHmEZOxH2fbzdT1NVzMPpz0r
K6mYPa+nUu8YE59cusWSNNMti9vLqU02GWj/YiNdF5T0t/MYvYiatBlX7IVF7c3A9IPZ1N5PQ7uj
8Uvfqn29VJmwYEHljn5I5MZFNtb0w2ziPeGzkKn/PNfRcVVcdmYuhlhWaM7QVGeqofe2x3JW9SEp
l8LQ8RxF6moYoXv0COeai0MU20bWIdxrP945hKGOJw9b4+4qtVwGbLd8CmO2ReOBaJe5Ch2osze0
ng+o2qQd9VOJ+pu2Hk8CJjnDcN41zZnmV5VFx66fr+aE57jlNybGkwyG5QGJQsQiUxXdVTXaQejP
UNwW8zRDl1H37eIOUxqKMe0zup6j7mwst2JY6W4UbdamSsbDg95uSkayRvG8Dqeib47alvceXLhf
00pluox3zpo9b7ainq2RnowvTV1ny8iuAkpy5/VHZ7ZRikHbA8YtyjaSOKlZOt5rk77vKuJl5Fxu
/TxL0U9Xiuon1yaTjPCL4uZYRuI+GVpZRt0XXkW7PmxWdl15ZuEYSjF1V6NrDnijO931N2Zm102l
TxO8zvlWMuk2umZRG8P9Yy66sBv0nJfVYKEzPWg8H8iyHEyohWysMrIczR2p7UM10LPFkw/tyDtJ
2QPd3O1iwlhAVh9dmb5smJyWoWbFPAQm27g6XReWyjCua+4r3hY02c6aCroW6y6NA3iRevSYDFtb
4Nlfd2R9bFxtZRPGB9SSWsaWdZkS65VPxrtp4ydT2teSIFVEzbHB9ANLY5uN8ZLhWt/GA3sIOJyi
Zflslk3IyLZ53JJDNC/5gtCVYVXe0PKDGWfJfZP5RFyzEJ1XzcfNbbLjIRNlfTFM6j0xW7FCtie6
f9kUlit4bFnEzbKSe+zUvhu3o4/ddRl9nhr+Ijb0aakWWeFlFwfxpBOcK5NOWUXpdSmeTQotQxRJ
dOH5RR9fUHJpw7We1JWPTB5ILxm5nlYsR83vzDJkDaCObhszy4ic+iXH+rlR697OvGiGh1TczrSW
akkkaV+EqvMYfwzVTVqZPeNe8uR9ZLyshvm6CxjSJTrX6HrBqpf1dobKVqZrIkfoUYolR5/uaGKK
RjVSaAb94TKenwTtM5OShzFwyVY41w1+4OLKLHOWtu9RFZSEWnnvStxkQdG8Up/nYdiZ8LLoLjO9
+LwQ0u7ENHyOenZQvjo0Kv4yzXrMgqiNbDqRr66pJBVzjlcnR9Hxo66bVEaTGHJemQ9qjapiwWvy
JfI4ljzieUdSvpu77ZR6e1tXLs03Hd+KJvrYret912y326KvtnJMs6n3KiOWJMdqbNrCttwWKbMh
n2YLhGvb8y09jNEgmVE+QxzgVFUvN1HiKulRX8wokUbPjyMDOBz7I5vLOAujlRtLP5tpOhFz/czX
cCts32dO44PWa5V3A0ATUZqmKFOkJY7KXE/jbUs2gHamAKB+1vXkpUFtpuN9NbKTJOnyuPPnzdxD
9U3Oa0cv1nXcc+JwnpSk2vlkrWUy0yifnVD5SH2UDYkYi7aJVvlf9VbiNg0A03oqrhqskQQEdquQ
efBbZaXp6gayobwmdXwCvlFFKdZJ4r5cZZemY5baECSKOCxi2M0v6OBXmvgdY3nq+tWrqv5VTv3t
4z9uOwN/f1Hz/ufL7z8C5/n1kV/53Hcf/kA1/wWZ/Cbl/ouL/x7TJCyOgV/9a275naz2Pwz11/u+
EUaB3iGWcATiTBonPCGAmr8RRk7fcSwI4wA3AC1RAUjqn4QxfYcJQG2BUipwmhK49E/CGL+jCYox
T4F9cpom+D8hjOwVWGOCEwGqI6gZcfpHSJ8mUeVazvje16HZOaSFnCqmcqoaLke7Hn/nnh9xiD+A
LAHcBLBrmoJHBGzke5Cl8VISgUS6B7BX7Svc6OcE+t37KbZ9sazTnJtyG5wM8KtBbuvEhdQ1DR82
X7bZPGFy10wln/K/sAskg+9oM/ghwRzxBFGMBU2B1f8etAJxUoleDd/PuP00WrAjniMu040e8Jic
CLF1+64FSliqdsnr9Zz6gE7+3IjXwPmrDQQkDYQwiwmmr2xouGPlogPf92px+7IZyhMeq+72z1f5
QcQT2CrlKRGA0sXX678TCFJwsq43zfekowfazPc8SdVhVm0v3TzMf+HYH+yJElAjIOIUJ5BI36/m
sY/RAghvL2zKdgtfWqlDj/9ildeiB3gO9BMOwjlDQEvxq6zCZRO7mZbpntYGttGss7RtuJ5gWvQf
Ow+EHxanQGsoZ+zVQjTawKNf07dUCMpqpF9mtbmsIfaK6ObboOOb1PuDw/KDSImYEZjsAOUFXvJq
sSUkXZcOSbrvSIKylseJrCfc5GYDNWLR7PDne8NfY/F76eirF3HMCUmgIkCdehUrFfNk82mV7l2U
NNJPnTib0xJdt3HNjp2pm7y3ju3qccaHrdPdLkam/MxaYuVsF3etGwBxxJopJw0rY4mo6zNGeJtT
um1XI+5Nn/PaCncM2kI3NoaP0vdbPcludnPWj1ucB6rZJJFm770x/v2f7zH+wTkXVDAsMIJa/Id8
nK3CM11Vuq9sjY+aRvy4ThRl6UTvoq/sXZfD0frqJSV1XyS4wbdzlfC/cPWP8lVA5QbVL0WUJK88
7fWaWFq2Yt+2ITkuibqwiAkZo5plf77hP64EY0HoH5gTTsHXr1aq+3qYhRZ8n5bKAJHlXPrOfBpq
hIs/Xwky848JK2D+ECNMkoSk367/rrQ4E5MoxUO6T8SEi2aK1MFDxb/CiC3XLIJEwG68rZrFFBp4
QJOPHDmQ/2w/AwJc5oMY+haIUyqCHAJlN0FN9JFOjh9mpsc2Iy6sN2IYk7NxnLrTpjZqb329GgBT
QS+7lguauRC7DJk0HJFY+aGvE7YT3q77yA0u997hglAvYvghAtpDq46W+3nELqtMXJ6HWtNLS+MF
lL56YEU1LTifUq4uS2T04+q0OSaTmAvUiu2wChrJbnLpsXFj+qDIllzOGDa+DcmQRSVqAdJ6dsIR
Ls9jveaiGUnRlj2oqBSA5mDiTnZL6G8T7PsHHGz/yCvEAXw6C3ro6srMdvNQpHZad1bY9qDQqG8i
1LtLjgx3ckn7OW/8snm5zMQ99MtUnvupLj/UAmj8BNzqic3D0skSkY9NpO9ti0E2bKKOnerRXxLh
yUVq6twhdSBJZA52ioGF+KnC13HMO9BIa8ZPUUKGy21aEegPju0H55s9bKcHxVho0EacyocNtNiT
qVMLAmDcrmciCAimaoIJecBlSLMQAWNq3Tw9A2QCn8zEntW17WXXhvjCjSUQEkowkMguGe7jwU4f
aMK1yw3tByZLj8QHgG3rKKkV4x1vTXIMAU3Z7FyUeUaTMzcxU3QOlQMIFhwEPLdB65dNFZtS6jbp
Qt5MXB1wJfzOcog3HiZw3xQN9LFkzZxXEFsoQlOsiqSn9GMNettpKnDykdQOTZKjpr6cKoeo5FMD
6/CABg50f1igciZflfDGzOLDPNCx/QDcx8oJIeDtVMMe0pJCxotJDzdtAkAoN/XcFzVAnBMz+KyN
E6DPFVm1RAGE/RyNpNR7jnu9Sd2E9Qw3xp1sbGRdrtp5hSNUIVmXC9vjDQCOhHpgPjNCJyGrroxy
kXjQbYRJQexuwmEq0XLOtqhSUieV2HegLgPnaYzJuS0vmrBUB0q6qZaLBR4t69mTTtZ8ZCozmIEU
EEVqOwOavgtT7E5qQf1pNVpzQ+w8ghqygiCW1rcYiaVQqh93A9h2mEEs3Qk3igOnyEB8F5NXbIH8
aLcGTK3bwHZpV8UfJsLTU7K65y6mrlDBgxpVOwcjCcFiAKjEHaPYe8kijbMGT8A/443O+4gzkFTa
BrwPIuQ5D1Zk9bLWx9p6DnullSSDMo/IVxqU1Xg+cOLLLw3ZaCkbPc/vJ436vIUQ35QwyzloFYEi
tE71PlqgCwMU9U8TNeN7LIb1IObI7P0QeOFwFe84IpE0WOyWCQDisoH2XeJZF0saZumDToC8n1RU
8dOh427MzDYDURgqnpW6vKvWKTl1Pq4uo2bFp6BXi0fFGbkD5QaoXVUREBZLHwCV+/IAY+AORjNA
3haq4CjwqDpRTTzlrAdwbDCtT6t+euDcDye8Q00GXQ/mGyGEgy83ez62FASOPpm3vLOgvVbMaxAC
ohZmJEF3+WIAeBO6XQzE1cWk0+0Gu3Q477dGfYaBhAGCiHUGbV7tnWuWq2Hq5qMGfvvQVwhU7mYT
d8wlW7H4Ncrtmm7nldAPgQm27wazgJxYDlnFrsrWXCPUtEdTG3acA2lAS9B5tU3Tvg082nWEzc92
tiOWTd+YDc5aFD8swpHzpB3O57IGfaDXVbbMaM1wssZn7UiSSjJetzvfpk1O227edYno5RCPQChi
1svN++m6HHqrgFCng2zHDUtto5cFGL6ZU3oLIGnbBwejIdrBUYaZ/D6OGS3muYvPEzu+75U/I9qC
6htHfbZBBd+XpX2Mu85nNeycwJBIVVUnXTIuckiHvFYwmVvwPGUkzOTCzaG8tqg0RVpW6ynMdc6T
brK54NEmF8KW3TwH96kUJc/SNe4ytm5XjDq+07NlX3XKmT3YtF6KuK3WXQqqOsk4qkoFk65oBli1
2v4OcNnyHltFDi0j5d6ruc1iKDYXyqBexi4SNzXs96MX8+TzZmk9eIMZtkA5d3qRcRu6NE9dV6KC
rr6ZQNkHj8hBbOlVSy1roVtt/n6q/fAZR7hEmUuFD8dKrwvfMWtAlhu2lxUrKyvFGpizhUeztd0R
HrfJkS/DTic+yWIqXD6s7TXU/hxB8bmAQ+j2mx7KDBPRfMSIuBNcgcQdh22T8Tq7vGmreqdUs8qY
cTjGsz/1W7lcpm3yYcIK5ZWI7kg79xmBJn/Foo7vhq3UTdbUsU1lyWbI3GZosy1N3A1m6CZVgzt0
vY6kGDd0GIdGnyzrkByMC+EYShCm4EBbt2cUkmJyGO+rrmV7KClRUfoBybnHLcw4Db4KoJ/nFtX2
Y8eToXAJLcpo1afWQ7VYBtG9QENShbZze9gYmu6qGIGOqRY6P/t2o4nskDW59sMmt00gwIx03UUR
7w687cxxVsNLh3F3soAidUNi4XYerVfKT83JulGadYIsQcZxNH2YmqZ6oVvjixpic+n4io4pdeUu
ssJfb7StdoMpv3jhwkVso2rXKmFPGNegBjY6NIdlQst+1t2ahdLpYjTovdsSng2kxruNT8tuK2mi
ZJVU9kRTyAS+YLSLSRjlgvW26xbVnCarEq0cTVBztjTjnAVadk94we1paXEz7uwIHhFMt/vSiviY
1B2Xfc1OmyQ8rH7pzpduuVjabvhCYe555nrS51XcLhlww4tAuqEQ5TA8koHRvUFuOhq67psu+mDL
tWlk2PqqcLa0J11pNAzNliqvAjN3y7CMFyKduz2CJnhY+urErsbfJX3Npa05zp2Y/Bdn5w06N4AC
iVWnYP5czXmPoTY3Hasu0t5W7+PJ2mxAPZPc4KgBnbrtchAypqul9vf9akfZReGsxlObmXUuuhrq
9jY2fdGGJffdwpWcum0/iXHKWphZDFufnuMtNrCmUu8B2MOYtNJlvm5lX0lLOJZmsR8GHaldn9pi
atCTZeoQ5ng8tmH1Mq0HfCBdWhU8nqALkyU5jIpu+zayMoh0N3Q03a1sXZXs+4ifiG7ROSYqPZD2
dlpAnXahiXOgULl1Vb8HKN8UvBJVwWpd7utJqD2B9aU39Gl0tHxIDRthygOneV5ZsentMPbubh0H
LodpPRmj8IFrPF3V05aDaz+KMYIeXUdPXHUfMGnOrWI31QQdSpn4sl3S56p59jOf9k4pUClVdTuy
UEvj+pOepmeKxucR3gIMaMJw1vrozEMGnSVINPtyJvypW1K9q2CmCF0qs7yf9oQ5c7+RLyDFtTuO
XZzFszZZ6/oWJmVrBAEc1G3o1ABVzN75jX9gTsM/99j05aelo2d13H6EtzHG08EkPgut1ztr6rsa
iwM15nbm+qPF7tiPSZvRwV4Q1oDteOok66e5CNNagdgP418cBZ0nFPSL2uGjtbPbzay91nCqjq2u
P4PsAMrzmkfcUZj/xHJ005Q7XZcHBoOtSysqern26fA8tq0A0YwemzIyJ0JRtpvKedubufzcEJhp
MaD7t6NLaqjGJYIjG1H2VG9xvzNDklWloTsvUHuyNjCTwuVcf4VSzBUJWdOsbmGmPyxW5zwWXgpr
z3ECr3kMFobabV8KIPdzso8qoAjDrBpg9RFgGNiwxrqBUvB1EJ0kNt86iDfw1k7OUXrDWXWZkFll
DPtPk9l2wwg4H8YenTQNDpKWUPP7CgA9Edf1Rs6JLu/H1V4YVibSLhD3KuqR1Gnrj3W99dD07R0a
kyXzE5F40f2DjicQ2FPdS9V9TqPknrUIRoseevbaDxA033zoMQlXazuZDwuIoTDvoe3Bz1V8SDbc
FX1Zr7J3g35UMJXc1wkMMAIIIiepRV6uqYtyZ2bAtqn/ZOMw7RPGYKdIzzBBmC5p7FZZG9IVG2nD
S7rW5FJ1C6A7BjOSFaFuFwl4F2dt0LkFzrLTwH9OYKAO4AgmYBT7Kz8CwaA9dw91H9G9rcuwB4nl
xoWq25W9y+hUXXCAh5eDi0KxQO0oElGy807gBkD/ArxZxd5dbBhZ6dXS7BADcsytvyeN3orACdph
5VFRlaPI0pkttziyQF1sD1jSz2hXdWn3tMCmTmBc3ubwYk4pcRz6A66jAPPtGV30rkbHqmvsiXEH
u266YLbD52h1bVENQZ83hCcfhrhjH/hCn8slxjnGdtrXLUH37dSOBxvr6KbvJxgvQ25fjZ6z81WR
PtOERPt+rKf9YpY6m1sxXNAwGBirrTZP6zqVyMGgSc6A5i3gviG9Q12TRaEayQ7FCtJwAI0va8lg
kAx1H46DaZFcUPtxdQAVK1C8nsqqtoVy8ZrVHqDQCBR5LzQloFVrwEoahQNzlubaMnbS+3H9GLY1
B8LEihaO7w4NcTiWCbyaMWs6595UMPdHVANabPqTNK2n3A7sfQ1CVDYZiPi2CnHAE413C2gpjdRz
2Hd4UOfJ4uFVCQSjKzEvOwEHHbiU8aedVlOhlQdcSYk5F3MAgGvbOqNNPOfTVtbHHt662IcFs71p
R3oK66zFf7NzLk2W4li2/kWUCZAETO6Ax3n5+x0REywiPAKEAAkJBOLX9zpZVd1d2dVd1mZ3cAfX
0iwtItPdz3EOaO+91rf2ImR73FnkTrVc00udZjU0FzWVsUA3jwHsZbVR/E2OXVjwbf7csnj9Esrm
25js/d20tfVHL/ZPjOPmOVunvs1B0yyFCBZ7CKVxNwGxb1HEPvCy9jKa7NzyhVa2RTtsqQf/VENy
izYL3oWADLmPSABtaDQ2roaFQAsaghCqo+BFk464fZSCH9aqujlg6KMfS2PCEreg/nAdynQt1Zyn
4+LyqVWYrXzHxydoFeObDtasMFmrv3eyjZ+FE+QxmiawMh6jYc53YWCSZT+mfsieocfxQgfxnA9U
q2Kt966YQfVBYFrApdjR3I5qkhXPNnl22whJdKp5NQVqOAZBOxbapmMeJ6G4+NbD1mdGJXkaKvBY
4/5ttRQU0N74L60yW953nYHCwX8km+rQHGS+gEHQVHaI9UMf16qQzotb7jBpgfHvzrj9njLKdZib
sZlOWxO3t40bu2pXStxEzok+DyQU1Zt+W/okp0vsnnxH6Kfr1im6BLv0R7cmcVrEfE++hONGZEXX
ZGOVWVrxW+EmS4pY+07ftg3yC/uQJUnRk8DUVRpsMy2pNP2XlbMFwN+KSW+f91cSNfSoXY/q6CUt
4Zq8dHzBmZkZ+XOop/bQpeFWptvWVGTkcLStZm+1HG/k7O7TITSXHthnriRqB57Vfr8bDWi3Lklj
/BbJbpe8Hac2n5NeveOFzBsCIuqLvJ6doRru1TjLQzfq5Ja1WXjow7XFMZfO41cNe/UysyGqdpoo
X1I11aeQ1e5tnfz+Ims3vQoZ0zsyZKRaA0pyMsJG9UEHld32uj+FOtsMXlos5bTXO89nD24kGQjq
b6D6dMj3bIC7n6xBJRI10Zy2QVf081IfpqSBlg5ruy6lRDHIk2UJYPBPYGuAqenvXGYRu34m8jXB
+XO/wKv9ZUYWALXAMHlccKnTW9TvVh5EZJ5rZnF6yWeeZsMxc+1WMOiXuc5Ic7ey5ZE2ISuh5LjC
1o7nuwvuIbgnYD/XwroaBy98hEPAVpMbqadj4ppSi04XC6dFFgS2DDbJdO6ySd6xpptyOdn3ZBJd
W7YyDjAgaP6dY5Q6ZS6NwNXVc7Vms4ZXNi/PGClrPP9DB3gu4NU2abyruf2yelS/iC1bFYSSHCF9
fO42oudxc2At9vV98e1pWuf1CKU2zLO0Jo82Gm0VZynJxyWQRS8SehrnsS98K6dLnIpnPo9LpWC+
15RsQYG7JSw5VOEKqs5yl9gu+gGUUtTl0A0DICjik+NsiAPJRfR8QxOzHJOEBQqHF0k/eeey4+Ij
/QH5Qz+NqZ2fmzWdwTqk3QOuPOZiSHeH0JnkAb3cWvCpSQ8Dnr6SuOjX3DbmlO3h9sD2Zq9zkvX1
D2iw6PChl+ubMW7mOqc480jubJIkh0WOgazWZtJdAQZiBhxESbhVJKx3UvJ1g+04sLHFmRnr7A21
dGE5YC2oWQwwH0RcVZv9PGdeKzTdBJZqOvf5rpLhbmaye5Pc1VXYptOtbTi4HnJ1XGoRfPOgFLZe
tFXfKvz0ZbXPbNX0OOiQPEAWSfCjbQb5wkLRY0myQURHL5sV0zZF/YOWOKbbiORwerZiNGPJNHUP
dd+XswVUu8ZdhQmoLrTRv5fdvI3zlgE5XsF52cZ3Sd6MdiiTcP8yjNvHbgVog1lGh9aJMrCyzVN9
JXu9EJdGQROCoXNuehG82zUQZSagXUJ2l4Vod3HR9VYOQ0sPs8LUNTWsO6UkwzDraADhpTXxGR0s
4FMQoXw/kBlVMVc21RbSzpqNhUnnLqd2XRpwJe2yAz4mwb2ysVcHAnoGsG+StS8Av9kNmj51jjqu
qlm0+oU7P6g8mXlocz1YuNQQPHid70s0P9p4BKpLk5i/kkZPJyMbDJEG04oq45qaSxBHZM498dtB
ptZcmWKTkzXhX/B77YfZD/ZqVDD1Hu9ujq8TS/9Yk0ZBuNmn+NNHE5reQAdZqbMxjAooi/ot9dfD
UrqrhCzjOv5NuYzQCgEiPHbwEFDeoJd8sE0mX2bfJrdwpNRdD0TgGcZncuZRHL8R1jS65CxoO3TV
dLX53Nvsq/OpQiMTDOOZoMIR3NsEKNEOOhtd/oBnq3NqnMogpOEvOtL4bcEj/F4TwFMyGUFSzpkd
HkZQfrAYpo7s4Jap/JwCRs715rcTgTPyIgZWA9BqA4u6o/g3DyL5gemu/9Enew3FtGkelk3RL0sQ
O0zHSzN871i2X/RA8fdxzSBD9AEGpmIbjCsyrdhLpliqCzXQ8LvVTXRazeyG3KYtf5SkhhqRTrZ5
DHYKbbcNDlFbi3dis/m3GiP1DhOp/hiaQX0N8OxXgcWV73A55Zmjkzz5UewftVftl7GJ8Gh6Uc9f
IxPw71CB6bfeegsKaQdCEIsGNxta+D12STXiFrnogFKUFNVVQ+K339GerkUA3aYYkR7IrU3pUPhp
jN8DNrTneCP+Djxg9rULgVyRxKqc+FRcOGRmDh9j1getTP19h8iCB0D109d0nOvLjl4bTfXemyMI
L9RTO9j20Dj2iuI1/nLjoh75aMgRZkMQ54yZpkKb1xWhDL4JyD0qhw9PoN2QunRh0x9dI7t7cBwg
oXDsT1Ws9PAIuwx4/9ZA72KiR1MyRoN+8XY1oAh9n+LiMIiQNLLdXTSv/ZmuPj1vNfhNQZX+BAsH
Y1CFczwBi0r6PY9S0b/abCWknOWg7nBgpLqkAp9cBAxJHTEmb1HhoglTtBpYN1Sj6CX6bJ5EP8PO
rE8QrNdHQurphbkEkP609HcjGeVlX5BAyChL7+pZ69uGJkFQRKGLf7NlVr9kJFcKDE0tX0egJ186
Y2yS93FieJmKaRkLv1Ja536MAQUrnpUtDNJXy6awy1PFdpHT2pLnwMz0vUmG4XNszHuYQRUdLToS
5/Xe5UnfhBsU90k+7svqvw82a5PCQDtd0E9xnDCQ3veTnSHrMYB0wwFjAC7yoh0ajICDY7907UQH
MNIhgd+w1eLebzNTJYPrijOiGdNDDFzrpu1Qv0oQk/Nh3SfcOsPohr6IUhSbyEoY0ToNyJ2b6Abb
alyie7IkEOwSMIIF40nzfTG6lsDn7Rcaet2VIBrbsxuMem7xQaUHmlr6ZmEQ+ooMU/KJ1gi8aiYG
/7NrxhXiSq+T7qSTIUYjFVnvD7ibO3usQ9TMfDZ240WSjfzbojLe5hot/01Tx+sbn6+VLePrsdkD
qPbBGGaXJvE/jJF7Dud43XKM1nhO0CPhN4CZEEa8UBNKLnTsDT5O8hXxjv7TNGsNyXJmRcs9UJEw
vGUzJEzUAmr4MUZmpy0TKNhRLpiB4RHjf7yGs3MLsgY0HCvdxAOcjjBRc0VbAenMhgCRLe3PCRUs
KvpmJmGJQIWohr6efhqfeFRdGqL8w7rxN1IGfUHWmX/ZJ7gOMDEwvA0GuODJ9DL+7PqZ3HhDRwy4
uw+PHnmYI1BuXvTd7A+8hwmEW3I8r80CoyyBmfbIM8iZ8CAXVBNb2597p0O0eFFgPrqkHcrVoZtQ
rf4duzC7YQHNLh1oq8d1j4M+x69tL95Yc+f9EpTwajHje3lApinIA7h9R8w2qi0xNevfU+rA5WZ9
Jx7blD308H2PUTM1r+0wxKKIbLCduiFs3QG+fXsYLf3OFPHPASIKPwMOaSccya2PQvW5sLh7i5MW
KYl9VSCzOZ2+ZKjmt0Gjwvteq+C5CaJ/BWJc8Yd/RF4yQkFBoXBHlFF6xSf+E7HQSpJo3U7pdaaH
eYqJ+THhqn3oZy1Qt9GqPrgw6N6Icyil/zMwQf8ZLgEEBS4oAmUAb/7E9+xRwFORbenR82Z+yLg2
Jwd0/IiSCBl13UgBfhqlVZHOfa47SopZluGgnQwRmLE/pbasSNMBYqcmouhHGEzjxuPDijYefnMU
Po7NGkOWGXgSQ0Bl+8lwqi4r7fa72Yp7GzlYFQzaYAxSqy+WVe44V9ABo9b3AYRtGR2HTQL8Bx1U
8hpn2WIWig6FvW4LhgO2+vBxEvxnNypaBImbT1OAA79TYwIuvL2iUlsa/4tLF/1XjDDLoNkixBFH
UAeTP0FsA24lXD6Kbh0MJeYG8kjphkTM0vnzGAJZWj3YjDiD7x76xd8Iu/hD1lfoAq6MwRqVtWiy
pBhaN6bXOEDVZbE7E2XbQm3BzUYWzLu9RAMcd91p7GTyL8CcK0j651svYzC0aIp/g8+5knP/6dYT
qCXaZSY7EqOB6I6Z25HB2Lf2BjGH53BzvHQozoX3tr0gDrz8guO1nA250noQ3BgiE3jEVgLZA9zG
v7g3/9mbQ4QR9yUihOzPkGADDY+HfMiOMoRQBSuyyUCKj+ZfvEyI3ON/uQgZ4orXRwBHe/inz1HD
MKa21tkR9qeXKN9JcFpXs5Tb1vMfEQZ4nJFSF2NYj2W9OP4s0IRuJYRxeQNmJ3vofSqBzeBhQSZo
eECuifhc1ntQUUFe9Szt+/98acI/I404r0mIoCbQSYqkWPwnTHPqpx2CBO49ZyMcCns0sgJs94Z0
n9Q5dH/6nskHRYT62gNHL+D/kKJ1fXtB7A+5EyP8J+uy7faP9/V/gawGcPjz7yz2/7n7+4KMfwSu
/+Ck/+Orjr/UNTxu//xF13fz71/1/wakTcM0wm3z30Pa/2TFxTUq+7fv+yuknZK/AF3DUMczlgKY
S8ENgr24pnqjv8DExfMVgvcE+0nwWn+HtKO/kAj/AYlbmM8JsNB/h7RD9heOewQ8ahzhgIKV8r+B
tEPyB/v7D4UKtCJNQpx3KccWkz8feNHi022Ogq3ys4ZmywUT5eYszLW9pb8bOSPKOw+odOWGgwSh
j8ZNOPsaEt5kQRKIKk06EFCjZerL4LEs5N4t5PoVo41+xhPYhlLs8TnZKEFIKYEUn/dJY1qkgrpe
PzEjxEdAmWheiKerepqisbel6MQsC3gsQA3MyGsEFPrVmLJrdQZ8HDOhRETV1iLPhmgA8hQNaM99
XOM4VWxsHse5CX+HnaJVtwHaLCa5ZOdJTsFzhNEPXq7c3VCG7UohSYlwkg+r0estgVjrctYDEQ+R
i7rMM2FpaZhy9X09eGSzxlQQ+Zwip9K5a+e0BgQm+JREAsHamvt8E60w+b4Z2t1SF4cWo7VthyKS
G2K9ylnaQUjo2leaBgM/AMdpSekjk+yg0DvRPdiYwB0RWwTMxca3AYl9c9ht6vpTkDarvJhNw5jk
jUXzzhMK1MLbrLc5cGj6FM2h9AWMUWQ3GWtLRH0wn2MmBbZg1W1o0vZpCxv91YbBT2ZmTAhAy67g
WjYwyM+rhX+88BSx01584KdxTHGNeaxhJACrQCIQKtDY78AvSEOfped7czc29VoXHMxplm+BjUG6
+j0AZKK4AsCHbOR+R+fEBOioQ83Rme40OBmkMT9MusOIWOC9ubvabD4rmBA2KtM1Yo/jtoVrIdLa
jrcpmZWEethjIFROhyc2Z5hdrRcyOxMqW30D/hM8AdCmxVUMYM8p2tJ5LsNYwVxr9gh/niFdeGhe
ragPcOxdD61BWV+1Awjmqk00j3La6O3Vtm3Qn7otpj+QfJzehlaRgkNE+VS2DrcL7jqkYcEpe1M5
MyNzzUKgK60hwFN6ZBCRf0uu8FuQQgkI0ppfuo7EP3QWAgBowyUdKoQfLUxWWGe+8KZRl3idtcuF
NvIWu3/aJyOSx2SUHCPPsoF1qafg3Cxhe0nXNSHQswf9kcJIeQ6W1n7bM89vMiZPTkUz5FW8dPRS
G4cMl+rFHL3CtUo4YGCppmIh2r+IMd4/gUftd0CVzVqAx2nDB7M0CJJtSkZrhYSkdqedNDCAuszM
p40qOZVoHIevc7BPD1mXIJ1tMu01RMBMqiIAl/w6+Vajm0ODOF0DVfFcQaVmt3QeW4aQK0DpvEPs
KrxZYpwJUO4GemfA2tJybZXHuNAN4huyWtFWIUSGuz1sgr0ItY8QzpqQ5kcwpn4P9r4+7omTxbCp
8bPXAZA/04pDU9PtAyL2UMBNTREKmczw1fcNnhsNzPcBaK4pKB3UzUh69woJs2vz3iOqIPpsg1ZA
40eTMajzFPbIaXHqOvaH/ZB30GOH00Qm+hYO0t5YvzbfmIzarNrnua+f5CaSFaAkYrLHzE/rYYma
9semA5izHUgPl+8khByIcv8qOInPG+ggTPKwHQJk79cYQ33C+0/NWnOJEVSOCzS6+/sSNuPPySmX
HVwfb80RcCSUikEmDbJyq6uoa9b7dlIBbMEo7kAzqn590auoAY0xf92r0I/OwrIapvDCo1pfHNf9
ctw8NkwAAyEYuGFYcFkAYupIwchkYYL55GF0kSqyBOpu2NTJ+JZ2NiDluuFByTOZkRIRUcauAylP
fw6Bj3NoO/GRGYRAxvZjFwH5MS99WKURhCgqpDlkSzuVrU05UCgMdaWCcUoK2ojpxKlleEYRiMCx
L5v5Mnmfja+AmWOQXFTvlaNT/Tz4gLw2HpRmzqM1cRXYarFWPe26J3TZCc0XEgE1TRNGgxu09d13
aNbKnRpBFnlH43ov0gZHDpSgeKg0iC4IZ5hCHpGObl7DFMdc6ZotnHFeiAzePrtCDRlDwjlfm2x9
yzwCnTivQgFvCVdeVLum/AkB3wAzuh+HqRDgrqF1eoc3AnZSP4spgoWDs0G1RasFn4o2QAdxFmlE
e1wKwSsoczIrwkRscLEEfL2a7sF5GcPmvG1Ki8KhP7AnwOCmPgCGyU4jJuVPzOjTx7gY9RS4WQz5
Non9p6RBb3KFDA1DfVhSVeIl5qFwS7efw5FKebKsv5LUwk++gIgd0RxwJy7CCC6CrHBcHq3cPRoE
E8ff02lHoUvHUb96ldo7RfRKYY1sEgsiJI7WDA4/ol7IiN5vXInnOG3d++pVdpG+yWCQB8H+3A0k
XfMmXay7k9nuX91OUlOunUQ5aqSZ9GnjS/oL6o4/DXET3gMTYVAXglX1cHXkOkGIbXZVplAE81DA
NX6gvtv8CZCpzh59yqHVBmvS3gWxyb5y5tkTZoKbKe7EBsFpeF6GTNyE3T63ZT0CNo1xyCGe7AKw
uXDr02X70eneFULjzIyIlfE3Zoa0LxpoqB+zWOLfVrs6b+mmvstgxyoINTl5JtsKU+FaAMAQdS+e
dhij16VrSm+GrgD0L56DaUwu4YSlS0cXA34YGg7lo+9MDkkF6e6pRhBz2RtIVnRqoyKZGGalpN4v
AYxC6PhNxJ9pHwzyW4s9JTByJSwj1e6nbSBQejTCunmr1zgserzpY9eoNYVbHM1HWEnrTdAie1IQ
vs7VmAifVGEnkns3BYCQe9p80pW3X1vrX6G1Q8yNuoYKJFmMOohNU1DlHOI6TxLgYQZnEdiUeI/c
Gegq/zEFrQbPiihAcHFddw6pZ8fI1OkTjfYhZ8jnvgIX1d9Y2Fp1j9i9+415cVzRG8hoeOBza/qy
7daAH1i0YxT1qR5gXAGOPSkqtx8N8PrPlY7CvasawZsjVxB6JsTFzNNaR0lSRdB2sVYDttV8K5DF
B0faZIvPKUbjz7jp3YT2JmrdGTEKylGdZeSRJFdDdhnH2L1MJN1dKWQwvKyZVfFZbXzYn2MzPTur
pbowMzmfx1A0nnwSj6SI9/YunDdxEsxjDUe7mRlkOUrW3M+DLhLabqqIgNEi8pDy+VHspj0PaZNe
RmBtpzpb4wcI8i1InnmFAbRBoa+VhrBA+ga1HD3Ip6Hx9sZA5VZLAqEBQHt0zean70EA/DBfPTy4
czr2fPwOCjDTRxy02asXHf1c3ITcRUPN+LBkdnpfMAWDdPFreImhm9/aSCXYPTA14QfyTSES7ya4
tzNrjlnvGlqqwfDhyAZO+4pEW5xvsPmmIpaa/kSB7EuUrBQMTBrEH3Ntv0dmqrGLwPVQ2KHh699a
TtNHKBhW+ITQn4OC1QsajkD48X1qluZ1VTLV6N0QDiboF19AfmwMcGY2RV/2lU5FNu39+nOmw5jT
4BplroGooyf/Hm47LyADvnQyCs9BFOPkn4GsZJcpTjN+InvosBAg7KU/wNxfunuhXByVgOwTrNUB
yoDABhIg+wF/QpIBJhm2SwCVTZsDVHh9sMkUbzcLJN1XO1kM5SJqohdwPqEoI4pS3nqpn423zTPu
/f20ux0GvkxR5stxX5ZHkQpY4DBab0hv40MUoCsQPf0FfCuyhQawi74RaZEzDE7ffsDEa+ErITcN
/BA2JzqGmIR3Op7gwmPJQDCAMduWRVQTb7cL+AJVxcCsCmfdN7msYjosdpc1YLoEvkjcMnY/bdn8
vAb1jmhsJBDlYSkowA3rCWI+SnUSQRZw2PtUiIrwNpYFdUHwtZ2xueDSBXrMkJwdkrc1dpyUY0fD
uID7pX6SPk22vEahvW/odThDslDC982y7UX4re4PSgDP31e2f41Fu36L8C542a0tgYKB6w2zJdb2
SGOzfUPaYSYYxyR9EG1MXtHg4oTtdodmfTHtpY7V9gvYBxRqn/RYjQDd8OQyRe8wNKT1Zep09APL
KOKyhw2CbTRLu4Mp3LPFFLvctm9I+dc6j0YEWfEp1lDPJ6ELRHJA1CQShFqFhzmc8hW5kR94fPmt
lZBs8zYkqO6Ojs2pbttelw4JgJVMUD99zYaHiKAZqmpAXOEF/krND5iISYx9BUGHqQrjDS8w5O5H
GJLRNzajgBWgGjC/0oYgUeCXHvR6jQyDfzO1DekpmOOsOwg7tp9uMuzs2iX8Cgw3LW3LzElqHPPY
hIHlW8xznDUSu1wMYJVyYCn2n0QDxvTCQ0qFCwNQ6hsNpvqhQRrxyEPTvhuR9mnZeA36o+56/rSb
WdnLpADZlxZEX53XzcirdNgy7OJaG2ygchGE8oK14/aQ6jRri2YW2afIgHTFtnlrs8wgYdXB5lGj
GnDr7skhTgQ8P4RmLt6G2IdBp/GsN6EfEzeRUhvOTYXa3PeVF4t9NvUKmsIsiS/FKOzPbm75fMii
bDanBITGdWSfPxHndA+b6VSI340kEl5706BIbx57PuaVlD0+h99U0v3ZtSjw6Eb5LcXKkCcQXdi2
0NbYD+b2mybJGJbcMGhcxTS4k6T8p13Q8EjeAGyJxvVmbTElRRM52q5Hx+t4/LHv7Sdutw3XWLB8
4eKzd2I42zoeyl4AOB06dMhbyO/pEOjLwCzekFP6MUUZPojZNN/QU8Dax+HHX6j8TiLGKoH7CI3+
GJfCs7EKqWJnORL9UuuZHE3qTIGDs1RAB46hGJPPpQ/CU00MPcdanvYxhQ/PF3jlGjuDDt1g4hcT
hgiXIaL2I4PVcwPca/3DYcO2B4A8h2z2ZDv1V7S8wiG5/twXjkDRiMwzGB+WYt/WhKZrgpnaF24N
pu9M8tRXO5+wZm2JzUlt6Oklj5Nj1+n1hEUPGPedllgYFPt7JOZAksOP9bfr5tAVpuu8//IdQg8Q
jEZsv6FD+uoZ57BqwKlwO1LMxH1arFoSLNWh3a8+2MzRzNMfxeQL9pAtISAUttxZjkN05p3qCh0z
BC0H7EE7zaE/Yu2API5zi3xJrCF+SK7nN7S7EwQKb2GT/TFzAMEvJ8vk7zRuszNouv0ZKNH+FXkX
/jwqD3ebtJ0tJuR+bD6SJcR+OxyXUG6OTPXnNQKm3vYhf1gkhR8rtxTeLlMjmp1goId4UTXIrZnd
uh7z6ZLAdloNuUlCD1KFsIQ99xmFqTGY7aknFMIRaYe0kKP8MoFS/YJQKAJjizH3a7yGFR19dNDs
Kp8hS69h7RfoaNgjtnhgQ1oCmkWTKJ9iv2CvTgJGt1kLOiX0xrMoRCOV7WXE4qkao5lhRsYuMWOb
oHIoxgeeweVJeDPc4qBCbGGf048xmDTYbTNNxRhHIo/C5tX3SeaOgrjtlXNEa1arZtwf2cIe0iZJ
OVID3N+tfbBWOHGx9CMewR3PDSKFe6OjGyy503MFNe3ska36GnQpeWV8mhFXmXb7trsM3V4j449p
68gxAbWKTxUxGc3x+QNMnKvE9l1zmbYVbcjagkJljKHP2WXyYxv77zzAL7KpEHrBvA+/nE/qI84H
9TwhEYd2qA7u+3hKK1qvH3OHwrqE2APY9K1WR7YxV3T99tyqPrnXrAbXNWMcwAalFuNNXq9M3BBp
xnNCTPoL0cnHAIRrYbcAWHNS+0cOFb7aAnjZoe2D/CqcdFugju3WzWe+7dCmvNr5O48G9pXJoCC2
RSXBkpubZJr1EWxkD/YRje19vTH/A3wXllLIjfyGcRFgHsjY4wIHr+Nsn+914OWKZVxYVYSf1Z4Q
e0IKNIxsFcR2O6H19r/btBsepWXRaXJuqgwZZv9EsBaPLoiku3QOQRfABkIntbMGK3xIEmDpQCd2
ECsYWp5IPMQeedgQRe+vVtv/txX+6Sbn/9jhAjs4g+v439sKD5/Ctt//vmr36ij87Vv+5igkf4En
jlkAej1Gaaj3f3cU0hCLevEPomEU5BPlMMX+w1HAiXK1DRK077AcYDbYv+4JDZO/YPALOb4nvPqe
LPvfOArJ1Zv4R+ctZSl2PUC5SrE9AuGQP9mPjk8pxeKqg+4VctNAZuCVmg3cR5uYtjKJzQ6LDusK
DRqAyqgf6tuQ46CooZvcyK4Lq3qDrlo6iC46RwRpyaNoThYsGFwTc4QrZu62UIDDz9S8VVhZl4bF
KFZzGaG3fdkF68slwhEtYmxyHGRnTsvg5srZBSTo1IwPgiZ0BhE3u6yEWInmECEQCDTKU9S/iBo8
5FHa0xuxiRqNrwZuVC9xcLd2Rk75v7F3HkuSK0mW/SI8ATMzYOuchgdnG0hGRiY4h4F9/RxkdU/X
q5Hukt7PphZPKtIj3B1mqlfvPcohgM8q90fjVwCvM+des/yv2G+8tWkO3rUUSXwqtW9SvqdzefGE
I99a00PLBMTQQh6rFH6nhiRdSwhKh5s+KZJXOAQfw2zG17iJnzFfoiyFeQ+yVDY/pJyjs2vX0WPQ
dPIJulN2NePE3o9Ey7dMbsF0TQVWmclAGu3NY2c0GUmKYt76vHVbi2trbdQN1tEiGh4bboF16ntX
jxv8TNEdr8M2/eZKWwoaVJvAEwnzbs4jofrpE7eovERipuufTXhna7KWPbN4kB+ntIyTmUCawwi/
1RXXbkkE+Gx0IQ4D3rTFLZdZ1NTVSPqJ4kt5L1Y4m/dyasdHnxbRp2mNbdz6SVjfUmckUMZos/1R
qmiojwP+qLMMQxvZoxyCW+nlS92HRQTuZ5Pgfh0q8GvrlFoWN5VyNQOKKvQJDoe2s8bX43q7glP1
1I5tsg6qLLdXZuABFQh1Hsc75EZnYw+L28xv7bu4N5JPo9f2LmiHYk97Xi5/Uk92NPS9l6prxVaQ
LMW0n/e3DhMZHyW+KdSF0aOctIemf8KYHyV4IR37TYtBvpaVRbdbDY31sFBEbtJ2GT+JJigPWqjs
kPsuMdKBvNZbh+f9qxZx8oB11dk6BvgxYhjTFF4G/qR+h45aUjNnDQAHKePHSGnv0KnUPMg0HHc5
ZtpsHaR9eagrtZgvs44RzpPdxHothn6njOgVKsq4LtOpv9Md7zEZluRjVPSXosTSKFyiyR5aQTda
d8xLrA2hxfkhpS65JrgwdtJoynVj5fXVz8iG7DPBMGanpzHaDw0xYCxrBr7XCu8Hd6OfNDNO0lFs
XMMcfqkk+OhwGl+S2imukMbGY1gN9BfJrOqDJul2KaexPBXMvOAf2FZwS9rWaFYYG4qzjkkM7OzB
ijGxmbF6wI3XvhIMibr1SMN7bX2reR9tl2ir1TCmXykPHIWoAj0eB89u9ZGEoaTLJYoyfTKVjJ2n
1quHTSuK8jvzmVmFa6uWsrp4fPcJoVm1jq03I4zG8RglSlirJOy9ektunySkIwHPXpbwRrIRE1pC
p0rsHYNWXn6KDf55tIR+eonQAzb4/vI3yx5B/0ZlXFNLpYuVsBOaXk9zTKNLOSQnlNDZGz3GsNd+
Y4g1h/2rrv3hYjlde2cMZvGSNYKQEUIg/Y+Xjea3Uonat3Tc18Yu010fGcGu7xJIjAzjnFtpjdNX
wezqI2vGbK2aThxGniJO2CrceUkHsTO2GVdmJuBGwMpuXX6HfVc+zK4MfiUGXIJU6fm7oZinjDT5
h9FgSJXAnHPHPZkR0T7HKIbe2lWtF8LxLL3xcWprtHnV4rzbIaTMcPIS3PQLbGCA6YhcdQjskRhD
rocc4ySKgH3MtaNzwL/xQMA4DefnRLs2TrnI7ZiP/HHQ4VzFTWcz7O3XXuun11GUBtdL6OwqnGHw
8zRcI0SUcj/55bw2/ZKPMgtvGWmIS+M14dpwx3FEAYL0SevP8zq01UnLZIbEtzgBp3HMwTY2w4uI
6/DS/bEMzq5dfeo/RsIm5ZFYtcNYMfvQtXMOSU/PRDMW92H+x4mY/nElgsiZfppunUyrPp38r6g2
iNtWSQzoF57FjIpAlszfSzU7Ns7GiRgTRj+agpRq9BFHf2ujVWCzOweS2eVGah363GAgFm6qNJvz
AOmjPAJtdY9DZbvDlew3hE0heQpaIz8zU8PdEwBqWhnJOK4TcCooXVH3qEYNRiMDkVl386OLnu7A
SQj0kzmmLrF6Yxn1dEkDZhI7J85INFn5owknM9uk1SjfGi20vyY8lABfpDNHnoRiLJmImKh/ZgmK
0ZyG6Vdo+eaLsLrhqfNBJTIKn7on6Zg+LGaMXaNhu49WW7tvRuvnZw5s99QKEhQiacLNMEzX2c/I
W2qJSOqJ9DLjybY7Htg/uZ7vPCsZyGqHCBi/IgHtuzjKW2Od81EybaPPmnZtgxl572au85vCadI7
ssj59OCEZvQiIqdf/nXTO6cWDM99jNvzJRmRZ3fgfbsKcQQZYovHvrsZSmcB1l3bf6syPz9YKGLl
iohF7RyEYfX4yI2A7ICMqNdW4KZSsWnTlg8aGlyS31pIHkCaAeGCWcYL2CS0DfhLtcQmSriMGsIf
q42pMv1R59iPtD0bmzIMZmcdhqJ9ahmg/8A/ghlU6FbFWx2GHDQmJiFkP5uujfY5v/FX16cgIjJ3
kBUaFWQC3f5qswhtKg+HEOy6hzH/UE4ddrWGYWy09vBmtuvIjDiw5WwZ7Trp8uGqRrOa1+ShwEOE
wqq+sc+IFKZjX54YfpGcdIf6Jx6Y7FAx3vqp3X6OSekH9MUYTES75maat1VZwwNhvBh+4MNvLoJR
8hvGPtCy5oRru7fKF2+oYc1kbRxaW8Is4pw3bbJN8j7Rmygvvk3XDrjKguZ9Jr13bOCy8WAhXtyN
KaOPVUSfswrKlOwG+lcCc8JD+y1SXd/T2sw88kFn0Eg7UFdWSV3rj1inDVxOjGRA7YU9vE9Rbmer
FEBquDU8Nzwbrhe+6FFGv9jz4+TroB+yclvqckYYmAu+emOY1wTtG3Tx0NYtzXjrYja2HIzbgZ0s
MzcdvCLmFbTpEaqGBDxSwYZeG/k0b+cp2lOQHlIzxbHbJEmxo5+EgWTC40Fe6LAHeANx5hyVxGyZ
KMB+Tdu3IfZJ2oXduObe5zxJ+VaeQs8JDl2YVZeSqfBzHeD6z7og3ziWO374tcyIoDVm/RUy0orX
cxQ5P8d8ySX2WxKP8wcS5q+eyTEGcDM8tOi7gFEXr8fKnTzBlA9nB0ySfCKoQ1JmP02RPW0NMlDv
lstt9LYMosmvjY6Avy694xy3SUN8KsvqQ9hV8LEGX9vwGIk5fFWhGBFEOSA2g1tq8PNeZPRMtPzq
AFHHWXfcAccRlOBj6cfDa9CNi0M0swd0OapMApJnLH7YAuouiaaD0ebeiHGoIF9Z2P7w7KVZgRQF
EXjvqDT/UhZFgh2nrtjkfWr8aoBTUXXakn979JoHTiDTxiPhVMxeyCvdM+b0CfvjQtjY8A/v06Ro
nkygLaT/JeFCpi9F/SljRZPfVuA6NhRo04fnjdVP7BQ8HciXtX/mwaMwjAle/fClbp8FaYCLdh0b
5q3VvniOB6jBqTT6qRPKiXs2nMS6R57fu3Y5Hvj2DNEuj0z97XaTHx/KOfbPKHAYxs0SQMSKRAIM
bXNyih7UOdqKbdoRlPgcmdloVfiOZ1iuJ74q9SrTGR9gVzodwdbCsH74XqtPlhyI/OGoylaTt5Rg
fRdSD+SzDULKJPWzoiaEoelP7WUKJKAVhmEMdma0Y38fFW7+i0Mi+ZFgUrlmnpk4m2msiy3vmVmu
4WON676zoP6NcREEDHLKV7jW/ZmH1V3HMVsZ+sqxTpaDxuo5KXBCoUnFAL7YMDmyrU2sfFL5lkwc
NOh5Cl8SsFrfoV/xaDeRTL9GWH+XpoKAulKxN+aE4hrry9FxBaE5CgkTEwirJvpGxogVIPXx3ADw
wLLDBMB3ouzmJHNxXyoJBqo3EO/9NuNgqcrkOOBhX4NFqn/4makWnLP4JPEyf41ZnWckHKbwil0h
+arsknD+mIVPOrewkga5+RQP8K9hmuf1XV9VwbC38cl1a6Ik2N14sEx7h+MMp0/cNGebx2I7AmP3
VibuVY+ioCieGLVm8Nv4ux98ZXmY5Cqn35CjUOcpRCFf6xEyWBs50WGE7BFtGpnNi3zWRt+MXSkW
ywCulFA5hDtnDnciL2A64fO7lxaZ7owP4NkXffbEeVFfQoc/g8rIwnuVgifoBi7cCX7qM4Ock+QD
DWi/PlTCaTv6bvhUl/PLP8kf9/8wI/7z7hG0ib8rCj73K7WvyeROLfbsvysKlRDYkvN23tde5XD3
KyIfYymNczM5ZDMyPyi+/+dXXDYJ/M0U6QOuBdaK8AlzUy5Cyj9bqD2Hj9JhyrBPGyt5qAbkNjeS
1mZmL8IpnjMMRcUYbf7nF/1/IwPKxIapyHzyeePI/PuL2rFVzoFKweBEYXahrunusdUR5zMxCxLv
0juaQHlsh6H+9eeV/78U92+kOIQwU9mLB/2/V+Ou8Vw2P/J/luP+68f+A8Ts/OU6iiENfnZHYcf/
h8HXt//iKEUEo0TByGs6KGX/Kce5/ISkFjJNxxQWNIj/K8fZ1l8E7aXw2XJh8bNS/m/kuH/FkrIQ
DiMcKGjaQMsS/L1//1Jxp8zMc5htFT0FqkiLaj+IGrhcQmfftP4xDvoPBmkjuEr9y2budw1F/u9i
FbQRf3+i/vweNrM4odhX5Mp//XI7fmhg0ggwGMPDokW2dq6T7mjLJKgipK36UENsy+M70E0JIT72
mUDjuibRiFDXOM+6VoRKgF++zvGdYxZnJxkrnKEMM4LO2wxSnSsALquhx4ckugeyGXsrgPcsKubV
pn4Z2uRCNhDLQEElyXKZdLwNaXCyuWwpchB78jc3h5GXVJj8RPqsY6fZtk74w2WAQCWu5UbIfqww
3zQQpXmhjfZmAPdl/N621bOzJG2D6ZCEzj2mkaVNxTrDG9s6TveOsQ82OsOMncK1gZ3k0hc5cxku
o8m+lka5k7XD3fhmpPMjw9YnYlunNhwP2BlOBfyHBIa9qeonFtl8kMRWq2lM73wXm69LynKNLdOj
3YvffKAFeGpPEu5JGcXElT+N1nxRIS/fqWsjmkfYenubcbE1Anq3qcGonMK19O31pNNtN2VfyF3f
cU3qUM+06hhQfzM/Co4MEjCtzA7+R2rpzajmc2cNVwMf10aFTAgGcsIOQ808C8mTPLaFWqMTy83s
Dk/1GN4jXO84wRPeLT9dZcW0jeWGWoHBvfOSezBHTcNdyfapLsbffU5yszU/ZtaCTJWJt3ao3sMh
3k0MYuzaEbscvFYe4JZR/gtfr1XKAioJTNG1VL4Zu347mf1dCDkwAFzB6PaxIfqHj0q/YAneWNZ3
med3rdmfdQ+UFSfHphznYWV1YFgau1inQbYBmPOZOB34v45mdszeFV/NOpIvAAlM0v7Fd7nIqvQL
IPnRN23T2OZJ99PsGMwEZsDMBxqVZCcATmbRR2/k1p7d/E01zXxL0iF96+f83KbuQzACJvSmwYfX
Ew5H15YbnK1nVfgbWReHLkrfpQ5+QVe9TvOtEi+tC7MQyh7DucrE+E0uyhjmIyO8N9cqhsW1irIc
saZAXfqxBokpdj07IdzpofGqKwEneoAIOIY7lRcXR6HGY7qhv77vUJG2YcJSFBcNBXOzYByPsdiL
7vvQQuxic45/bAunILZZrTgO7oFmYd0Lxrdq7g4oBF9YM7bABGmiIGpea1Q5npx0kY6dLfHRTevF
XyLzduRSmVgw8rUecjihVunuUKBeTS8/9LRg2OMH8HSSHjFYY2bc89VQG5PlPUenJDDWWyZOqV7e
ldo6RTZeVXt+iXtbbGqtPmIpFdhQLBizIPDk7HQOv89u97YNXGAGBtoXwzaso5+yd++tIFkeJ/vm
m8wB6k7cYh/PZep/Fml9jLX4LlPrmNTzw7SYNijI8x2NxUEU5nDJaiPZlWr0kB2Tx2V7ATZa8xbi
gNgW1n0jkaBak3e+5n0yjaNXxVfWvA4bSfwUmkFPu0dwwJDiHl34AbWnRkatnmOv2MPcpTIWkbXi
pPlCG9jQGr7maEiS/7CBfLXLmGVTZpdn9vu8YDy/BUX3oae8WrzmEUuDvNd5mJ7UMITUaddRdWfk
BOKizbNp+LfZqT9Ad37anb1jcn0xJ4SHKX1LJ+rEruLvwKg7GXhMegwAKrYfJ9d49D3entyqCYEU
p05jEtTpRDvgllSoqkkOyhuOg+mxf8bZzwAbnJSqUyeQiJkWDFNwLKrIvtKe4uesqxHd1ftl2+p1
FGMCtMXd1sO0g8lVrSOQnFvCn7RXVnHwZv+Hre2RHpsZkY9DIpMRNLHEeLFL5zISid/yhN0BVHmr
/eJrUgrAWE6k2sxbeD2KB4P5LsTxj94P7gvDezYG72L23UKuIvWfqGnfNunVLsPjHLq/aihmK+iu
rHqJ28vM24q+c0171oylgLwQ2+bVH3+ngVAA0ikUa4LS2LLSM4/esbN0sdWucY+bC7EvClMsl8bV
XWp9iBPfTVntWVDzaBJC420OH1p82bXi+wCQI1LptpHqqn2MiLN7Glpczs1Jonin4KMPJTNqcwpO
UnwAOX0J8naLy2SfTkBhBqgVJYeQWWIVjoI9jptNVX4yhboDwPPWN9ZxzPxNx7CL5Mdh6CsoAsXG
Yi5DAlQezXhcALYIEOqpDoZN3bmHKb6ry+5tyiG8DdnB55vuZdY7usjNHnDRzH64Uv4+7ohyizY4
zEY0kylqnmXQ/WhScF54ZtOTbN48vwGhqleL673wwSZk+mKpyzijTrl5TAi7eTBm5zqNnFxojWyO
4ZE3hLoXY/Srms4hmINSmbdo/J33851J4DSBZdyYzu8uKIEGQL1jXnKmfsPBEv/G0/Mdhe7NkR2s
vOawGL0RJ7emjlgR0/jvXsLyPP27E8AxJo5OsvStaO5EPfIQlu88Iq/1JE4q++y99CPpi8/QSJD2
kos29U0lcu2UguMliK6CQwvr4UPTlifFJjLmIIDg0ORE/pmHRraZDPfLV3SC2sZJM13Z65SjtDrr
xLdwPbfrgR1getbvUeJvMzK2qFE/56b4YiZ/jowrAGrQdDZiaClWMqrwxCCyZUj4icdWrCc7Pzkc
CtgkCEOwvIkAf752OzZPsYJucK7sasDGkt1MP/7Ve/3WycIYaxD3Z9ntgbQy86pXUWpey1AFtFk0
g276QByLzLh8ZKa6jkLSKnn3EV2L7GK3L4mbbpyaTVFtclcl7cHCIbJy+vhVxQqs4Gxvi4g/K7lX
86bQap+BZi/z9tv1x3MUQwGteQMb++LmTELkmB39Ogbolp1dcJFSyddmbL5giAbbjvDGKuujV1Ej
UAp0ZxYXwNm0pPswzDDYJdkCoi6wGCUIqz2Oz/VgNKcUK1Pa2eWqcMV9FckPcKU/wYe/tT1r9aY2
Xym3eW3S6lAOjGQV7jSBtdru9+FIMTM/94h2uEZIgoK6EvljXRWIge1+ssRW9ViAwms/CH89ROPF
B30WAdvyh98ZURQdP3S1fxpy/57lOAy1TjjANjJT6/FxnKNd2e4iWdzqoISVZDcjkJKI+4M1VKZ+
1FxFm6nUcNv2EJBDZb+Fg/kYsyxkaL09uEq4G/vOEQcdu/dz6u2qRl8YpLMB5Z55xDbDHzrHnwZT
6bGmmy+1WE3J1zB0BznYF0JH6EP1eBr9FlmkBlxRvALOxrISngaLFZNNiU2ZRqKqMbFdYmsKV5n3
jFa089zuRywQcE1fb2Czxozqs6021FvaQVic6td6Drcz4SVtn0EQr2Pkbi5aPO3EoupcPln5cy+2
IQN4mK1tWvsrDMWoWHn+Epq4hQuScSdfYVBS3MiN2c4nFRTptfJk/tMgDb4tSAMcgwCLNse0372L
IS1fmWhgno2FXoP8m34XWAXu/cT0rk3q9GyJKlFOia/shcAYCGkm6EnGe2vbE+OWQIv5E19C9OA5
uTybwH9wu6cyP+DMTV9L4s3bzALtNvcAtCejiz5zquFDFlcB4SZDWNuuItPFjgRbI6enEJFYaFHA
RjpaagoPqnHNX7yk9xMOyfxFGNA8gJPt9hBtrKdSNs7OUuT3vWhqTmaR5GfTUM0T/R71MYXZuOoR
dR7qPHWePX7jtQG5mo80Go6m1VbnsnfDozawjakm5I6bjXETTJZ3DImnpKu8Z02ELqv6WpSI3Nw1
WOPg3BwNv2qvdqGCU9bo9uRrRZafgEP7OjaMXFQpq2tHpHRd2NO1JNBEPTOZyVPpderVbMzpZwWm
hwUAMtixMBbwJvaBj9GZ/bvEKWpSjQ7Pj0fk68sD5vZuZI4YVpTGyc3tO/Es/CR6ZAvk9NAOfnVn
DY147N1kvDWlHzEXeu2xXRKHbPb+3I2PQWm5L0Bu2DRVxJP9gTQ37EbMaxsX8e2h6ZW+Y5eKukxc
mJ8QgNQhL7VH9GMk4dEg8+kMqYXBVHtjUUByzOOpoockE+OHS4wChW+HaQ8CFnX9CgkNCHzPfMsJ
bAv1LYGWFuEFzJcGu0inGAZnGIAUzwaAr5iv33B4YF/kePpMRGbfVeSYDm6irLMxzxNnSoGZJIvv
S+zJEeCfOELw7bLpZtsTN2mVT/0TyLX1hN28nXKg+lax0fX8U2QJjNOh1STqgv45MOSLV8w3Wacf
yx5UV7AKorTX7qwh4nTxwZDjGdzaNq6WpapKrA3TC5nJ+7gJuH9N9Y7HEwsJOSxGp9+SiIBDaMpt
0i2+zjVAnh0ofnJwC/qSdwiICzZgeeeFrrkvguZttMtnvNXH2PTuMldvXGteR4nDb6z3fXpnm9Bp
rI71YUb7jos2Wk1hTEWZy+fe7V8Cw7pVE8xvg5MojtLLNJJ29KabF4f9sbJqdyMMG69E0aebdLZv
k4cniNTUukyKrV9H1zoe2l2ZUJS3MTwJ2931Dczn1rA3bOnVb7A4Ebvbsx95q9j3dmFW/K6K9t/I
lcxv/iZ2eK5kIYppCnpNAKrQB/5FdAFrTcUk5HCQ2RttfnyeRz3eRgazbGDNppMpi/puLMP5YRmX
Pg6xFM8sDE5uTVAzXWtlAWA/7RlT/HlUWAJUvyD7+ndieZKi5ZlKl6erXp4z688Ttzx75RymT2y9
QEApeTT18ozifaiu0/LcZssTzJ4MHmZG9e1Js9TtFAY869Py1HvL89/47BPO87m+5n7r7wc9LND8
MGBjXpBOm8JqgnubmSOoEM4Wazll5uW8CQNOHrMD2Fa7g/OsyMA81FZLfR5GUfdkJmX7BAIjPzNh
aU5omSQwZ7oxfznp7EBw5i2nH0L1/AVB0fu5sFl+2csp2UxdfMSfyYZK9gXgWeIwxaVacneyAjX/
c9hqxNLDlHpsaq6oMypz8h/dJPW3kWOn7HyIaBiGgePbjAZ5rqchenD90voZ+OTe8xqmcJVwyf+5
BCCTEOpebgYSX/13sNwW5XJvJGyI/G0udwmhaSKHy/1iLTeN8efS4dMsj8S4/G293Enecju1yz0V
qCxacntM4rjDouU2s7jW4oAUycqb2/kbkfDsIXwDacN/8TqA23tn4R+xgynO7LdJKEStXNvTx+CP
IU+N4yW7KkSASvlubpkZl6s5p4CzYwYezljcYZMt7qIIX6dd2dFd1fPNQ9Nm5EHsWhqR365dsvg/
3Fzo8lAyYqS5KTtr1wpTNZu4+/OKDgt9QId5QKnGwFAFX6aCDaNtWWb3ZZFIwoC2fc4TDom9BEVd
k9J1qRTyzihIwEo3/XLM6qF3UOg3uJNFvYsC3BkN3cJa10aK4JWTNE86haomqnHb1/VjRLfJRg/3
o2GnIhFOyIkxqJDNzNd3ypgNhmQRfSN4TpL6OeuwEBrY8jazUeR3+GKYqtOw/6KJeTM8U1wd7fvb
tnJf+pjSsycehL8CQ3bfRd4aV0f26A3SuDCUAjju5C0h5jR+ViapAQlw8BRJ+RxbyTN+seic1H56
YN9Yu9a5eQodi/wcpMxoJ8eeoqfLUlyL8jO2TLQSK/49TQtectkW7qCYbW1rujTUH8xw+b8z1IjW
ierfhbZwO8EF2RVydNdpU9r7mvHhxup9IHKzu/eikhBhMRAQNmvwvHQPxLubH5k2H6gL8bNJBqJU
Hy9VOb6Wdl48DUZFO+Zl0d7Vumftj07LC/l2coZpWO5ZlsrqScNiy24iq52nWHrguX27622etdJD
1wzakg4snCAqju3ngPfjOFlp/M60+1OQplqxN6fZZxDZ9rnvsKFizjRfK7C7dZ6P68Zq41VXMbue
Arz3ZoW+2EGc5nb0c0qLyqSdvxf1RAzFoWICmpuwCoZhYMl4d+tPdK2sApDr1u+f+TlxxGCUce3C
QHshN1ycy04ERxtA6aHi2r2Wgfq2qjZ/Tm0c2d7IgQJLkHBG9jtxJOgoaa3xjaqVbYTuHfhWdp9K
3rvMj75bOKhQc1lJA5Q031AV4MSa4q9pst+H7AOu8pWVUnwj7JhBqboHd2fD0S5+y3Z+ZH8Ge2jZ
CbMysi5ziBMqljOXcXjXNjY7y/C50YksGYqC+GhZus1Tb9nmC8SBlu7V+jmWprMVdfKiGqCwDQeX
waifzrhiEw07xi8MkM+TGiK0ZJ6vseGSKA3KAQTpuz4QNnvOwcMeYnZXHSMbMzjWjvk98ZYmk3U/
u3lMe36OINuMmaOfP0k44wXw3WiNkcVYs78GPgSO+B9Mz51jyND/HA1+csw6t70FperugW0U9yIw
xq+A8+ds2bUio0tF1S+1Vb1UWc5Sbw1/Kq+lBrONTh0J7Bqb4E91xonrvnhLybakWfasc/3/jvJ/
2Mb/zRiLHDwm6/9+hEWx9KP55wHWP37gP+zk3l+OSUCGQRjcrgUG85/zK8/5y3H4z4QQHeEIS/wT
oEb9JRjmgK2x2Ohnw7b5r/mV+xc/IaFGUwHBozb/V3Zy2Bx/q6VYZccczLEsyxXCZRor/sVOzsat
rC383NlXgeU+E0SeN2Q9i9OIJw4Rb6SyrPOPKM1H4P+e9xHDQbxgqNech/yPu2dLg7xGBIffEi7E
u4LS/Wr5tDeAFzo2TrU2G0rht0r5Zs/k/lg5mMkLW4cxDqUdcbUUrAb0235+Y85W/gaB270RK2Th
LbaN7iaVMd5TSBPeb00epRrvJZKnfRqb3n7U7VCf3bYoTxMmW6TKojuG5FLGjWWTlTWWvP0ZT3Fy
TjLfYa2Y5xZ08sFsHtMYbIGZ8EIYclGawAnC54tEHrxA9a7B9xriLP2y/yTDCJs3IcZMdFxN8eJh
MV8Ctj1gynXYyZ2QmySjTL/QrmAU2t9+CFAXzSgvTzgZ8QD0MkX5TBo2UbU6vrCQTrlrGi4KD5C/
bGiQDlJctThb2a6C9QAf267PVXEtPDdlo1mqWV1js8JK38B7698WSN3HwMmAe2Qgon9UllgEVyPo
UXCNqb6LoEFPqxqdH8mRdbHg2KM+fWjnaTrKQZTYicmLIguzV4AxCXUDZ9wFj6k4JhYGchRCbsxc
JVDtNcksWGK/IwZjVCGRYMFOkbnNITHSWq9K9HxvPXYmn26kwa2wZh68SBsl6RGfoYJ9ZC4xX0s9
gRFUu95xmu+py2giWBAEncZInJ8VDL8PKI3yZOB0PAvC6w+k4ewXLCQsVYaJDPBxorzbicpMjO2o
Kf2xBCZhu0YXFCeNn4e03ejfmhrTCZH+IoSxjRV46gt1cQs2HgiAQw+zqFhSlpCisiTmElBy2XNe
iO4JL2GEYMbi5Yd4NjRxaRvHCNPK0b8DQBXdmHWCJ1ep111F4zkXAZcIMcAg3R4EJQuG2hkXbTHw
lnqNTPEtGn7yEIfU+avU78dLMLRPuTkHnyBp05ORuu4HZhV5VsaUHbDg27xNpeXf4fkszZVQoI1W
VU9KEOKoB/Q49RODwqls1byz/oCRPUyPx7YHzbxyJC7WeOqbR2Cm886bEkJcsbERVf1ZVSQ+Almy
CKbrjdd62flBN3IyR23slA6AjU7urcMMNCrh73Kf+ixo3LeAGpfSmLavVA34DhXh0vKG7yyvf1oG
iyhy2TzVTB78mFVPgZNugV2wOKZi5wpTyVtehxslKrgiieypLSRxZalzmNwLkhrEAa5lZqRpweYN
BMUYGODSQs574JUKDSvR4tQA8RhMB++dm0fOBlUixzruSnIsXv9S+G5xRXVjlMXUcZ8hwOoHujeo
iyEueG9JVDDiCo3R+9SJlxarzuswv41dGP1MC87EDacJ2ZHSnDv/tID8or2jeXNW7JUBslR4A78k
PyRMEncLCHx0Bm1cBtE14D09lX7HTqF3aBvGzpOJ4GvRjXsrF+7e7F0T82BtHa0FQNUPJpG7cJHe
wYwHL4q3dq07ysehEumOhTw5uymigTzggiXYFkmndxOKO0zw2HzykFM+PbzzbEQh3HLO2R51hO+T
3ge2F+xoA+PfVTwEHbsEBLM9IM/TbphSdvk5BnzVmUE0+4Z6/VG58DrrFHFx1bMY7jAFS6i9TEk2
562yr42E1eKk+N98wNbvrt3gA2imZsOMItzlFeDUzC36J/ZwNghMOj2pvJ5qJmUKj7yusYcGYXuP
DVWzMa1y9VdIfnDrsFdnDsXZStPp0rE77r2xw/YcMofXc2o8aRCZx6Tw0sfp/7B3JsuRI1mW/ZX+
AaRgVADLNoPNZjTOg28gpJOOGVBMCgW+vo5lR0tFlkhVde9LYpMRSTqdJIan9917LkeHq+jN5UoH
U7UDiOLct/VZZsOBzvb53hwy4AC+o15C+I/bXk61vc6JWByWQhp3Zl+b8uRwNV0n2ZXnPOUJv4ZR
Zh1d5s04DIcP3yiK1zYbmws/5uKBKJH7a6AUrYjazsT80JaKRHdKa2OqZvyndrL07C5oAZ0CqlV6
L7AvoJ3qJZpiWAFuOJ7KecEevCivxbu8nDoDMx6YVX51y1SU23Kplqd4GfD5xVVSsJ7R7GqlHq7Y
ih2WHhQEr8ZykWv8evl3i5n4YCnC4avKgKwNOYSr7Pa1iaM69wOhnm1CJcjetqT4bRGl3glC5ZJQ
uT2vyYbW0JosPWhepLVxZrHeICvd0M8Tr3vZtVuLQr3tDO7lkSMr53c6nJpdEATFAWhMsotpylpn
9Hq+GfW4vAxuYJ8Xx+T5bvmUUkg3buFcp451SEznu5/NIgIjUnx5aUDVBsU6koWBKtnkMnpQjtd2
7J5kADo66Odg1fNsJaJG21edcRkTEKJLLrlCK3CSVQw21cEXFxa/Jp6nUPaxdhobLHjNA4kjazhM
8HeeGwqDbdxq1Xg0+0689m2hXnRufXdjQwlXFvfGyk9K5+qHffLjj0PCITAFcTbbUDZohgPS7XLs
34jSsV9x4U/PuMimz1j7GQ9dxFd/FRRm7a783JMv/pyXP6VTEjh2mhJQS0YKB1n6I81tW+w7jiLX
oZXYYHiI6sQINnCk8+MiPfUexslXmGAUB+J0aoMQYrhNhwL2x33dWk/mwu95pkvqSHXsHScxhPa8
hQU04jmoc8hcT0XHTbIfOUudNPrAk6qJmhr9aNNfF4ImSXOGDlri+i+ZV3cN7j0gqnbHGc7wdm3O
yxSvD+u0MoMoUmPDfsDwjs1mNnm1ssMg2BFPL83clFtqBhswRFZ3T7+Hfikk9ngaLzxkV/ZTsi/d
jd94xnOg/Y1msc5K0A4eaE3FHQPTGPpqlr9ZHO8OqqtGttq1/K67vNhNdLFgfVD1XuO8eBdONV9j
SzTfCjlrO/UL6tokxPzUuaCqxpzOH2n3ezAO6ZlT+rwtVEqfaN0vxJ0b8cdfDGstY+8qCWCdKoPX
PY1d1tdcz8g2WR5gZYe3CO54ptb4RBoSQkHYF/pPHOMqWOacpZyuDHE3CzwChE2ar0p1Nof3PgBd
bQy7qZoy0nTMUdC5wq0PAXC7EIy7jAhcuzpjQWXFYG7aXn8DeOrvM9negWka9pYp+2i2cJAEA5t1
fxbFuR3Ip8/jdGbozCIo9C78ZWTXWPJYb/DnbKVTkKrOaCFMv0J3/pZWePWTpN9WxMEn7uDMf2yk
lM66laa1Jexy4plYEeOkaey5anmuErXUFHWbcJEYI0C7nHwxTFtnHozHAO+y+TFJ3BlHFfd65wsZ
8rtvSvcPQxZaMpEz65WXVLvT02D9+B49F8cFHnjLurwIv9UY4OOnh3P51btqeiKk5rMNGJeL2RsX
tqjeI8PkzGoG6ptj9sW577KQaW7EwBNUhO3WlMX28YrVg/NcFlayr/oBCsBNyJqG/OTgKrvjiTBw
aic1j4qgOiBODmAVPuNsg0DrAbgUy103BHOBItn6H8gL41NDJO7M/eqNzF6Qtrt2Vg8FiQtMtb4I
Lq5hQUCRomZXGjPhRgF6ZBdpeEpPiyXsdiOBOX7UdJGcHbhcJmKi7d05dGHRAwM/BTN8TsAxTURD
+xAq9LqnO4I0jscSZF20XbKAQjRhzRWxTN9YS1mnTsoB7cV0b3xGRgx37A805lR3ioX6rXejuthK
+A/0R7ugf3x6+9Y5qZTvYM6sr0SOwUWEhf8xYjU5BEEIhY9gIijAKkmLdB3XZO/Wbkmama2vriOD
OGS7iZcpeO5ngnus1QC668D3IXNRoum2Hv3PId1fDSjECL3Soncp7nY8tT5VNhDJt0dKDwM33ZXA
odY6oy3NTu7t1vvTWgpICzC9g6Y1eV1UxsGUKduQ7G5pMFfBvIPTkSfI0lNnAFvrsl3sldTomLGz
Lt1iR1nzgTmh2vODAMrZbOuG2ZC/CQ6L+o/JiiLKEmNvCw1duWDg5ohMH2sZ0ofcpG9hRwMBHt7n
IV2oDi2TFwptkVC7m1kkH66czus1PK6LY9OMVmHtdrJBbzmMfCElnwsvj+rMC9ZLmPFuMJNfQwOj
3uRo5qEnRcPoY6iboAkWTTocSDMsG+zZUEuhaEOfhqWH9R9rCEHYKFN1j7NvItlRdtCP7Mgs9Sds
mOgWhh5YmkRAVq/L6Bf3k1M1G1w0y4V7j9YlJ8ZmNIUENSbQbwQ1bOeY10COYglgw42lt05aNW5a
cxyLlZsJzEuydrZL1RcMpcZMgxp9SA+ATawYh0gxO6woR6w+fjl0ZzGPOX6hkp9v0OGoLqglA3Tk
qr1r+PErYcjxvad5KV/DHrh1y1ESfcLYAzBosZWCmZFX6UYkMnwl6aQ/ByeJT1CcJo8iYmpDpsLD
LSjHZDMYrBQppuWAczQdK3sUMtHVBpPqspfa1CteHOYbtTHl00CZysQCigT+zijK/oi3F5KbCvqO
R56Sb647PDkzl6I5BM/DUHgnHjBIoZkM9gQAPheZOSuWOGIzYCkMvZ5tl2WqH3seU0o+YzZjyegE
e85YFHWmpqQTDp/NGjARvjCaNdQv7qwMs5fMWoJj6a4StG/rmVe1l3GEAzSZHPPF1vshQCVYBakV
bjK7kycy3ggMVWJOr4lXlB8NiYVdJgacR5Xf+2RLJE7KRFQlvKbcKQ7/YyKvh2yY/xv1DTc4jjT3
v0Q6rNPP+jtLPrv07zLcv3/m/5HifPGPIAAW7bLrCUj0BrjC/2JFi38Q5bBv+Ez4DP/0mP/lJHfM
f/ghIlvIptH5iwbxF9iB/wtunkWaAMwZfAcY6P+EcSc/zV+hCzjbYLf//d//HsKw/mM8wSSYEGLg
5sAJK8K1b9yHv2HloSdRTFblzPBTBw63bfz31reSCwMMT/A87PTHYJhfMa+rn6Bz6l/T2LPdVmk6
btwepp2vmm7je0b43llkBlUFgceifeWbduDx7X8uxv+ni9G7LaP/cyn4f2Nv6z7/1333+f3T/+vF
+M/P/EsTdv/hk0Dgdw0bCEnY+ZcLUaDrCguqF+GEv2nCVvgPC93XNy2La/UWg/i/gBFA52DMuURD
T6Dn/n8JwtZtd/4v0ZzbNY3wzC1CP50n+Dp/vwwFZB1lMXZvoRQjVqVjEDwvvlHLyCOefXX9NMA9
ZTXttjZ1s3XNId+UQ+L9N2EdbvH/qEzz17jdEj7iuMst9s+/6d9uCBPNNDPmkFWP1fevBRtbBKww
Pqiksp/HIgvPWqBICdJTcaPXshnp1Q6NDcYTb89/yrZUyTS7hlHuF2RYZokUBithVZSDKok9NAQM
sosNDJvqzvEuxRlCNAHdcOPi4HlI+476DHjpHKyqDrqHsYBASMp4Y3TFFDmeT3wwoYOMsOD0btmu
T7iMCWbDQYvI4HiTX0ObVWjOx8+radTWoYuF/mwMtAqyeHewC4z9TTFCqukH5xPLQ3nx0HQpLWxL
ysy02Z60GPB0z/qLmMPyDYjBe6ZSLdxxvFMQxCaOGyDGoDukRUYd3tR8DX7QH9had1fi/NbRbGhn
FSkuGwEQ6z6hSj5y8RZtCA4eywYULBA9VGeRvMCXx3mSQ+Rau0gD7xYnHJZ4pv3CtsrYjpTHIc9Q
TLIAeDy3aWJs+RBzBzpVRM2Udvue8o9zYjjTQQWeFXVzCRskmaPWbccTp49bAMVNGLJbuSHSTwfW
SDnWluUb7eqDO28STwzPXmtKquIah9hDmz6xmfXe4azFGyCQt5CryUqydxa+tRYrHuHkShjTBS0k
fx4nbbwR4VLbHJv33nZdc8XCF5bjbSHpLJ36bqs82IiqqB/gozkZWEBjZCarumOWOG7EKWDb6+kC
pGMf1MYpII2wTTQZFmX6V59Q84wcn1hrWDI7VsGYTrwOcyJa4q7ghIWHXABdTFF0RWpEdQxjleTC
BvfofTlmrDLTmBlt7Otoqrps7yiixnJAS5VFMbxnjM47QovNekmSf8ZGjS9/aTVp9nq+q6iQgqzJ
9YTHr9tykig20qFUiv8lvpNuwFUCeu1tsQ2bfSlgjEviopxSFmg9mNqx7vGV6qspQae2UuloYqKC
tQO0pwRknFbjspMgfx4oqxe7snSXB3eI8027GNm6Yj+zVmLJ7tkH11eo1gmSHu5/LOfikIJyg16I
4NvVhHuVP9xMnlK+lrWDaptxeqxLXHpsm/44zO8bawqr59i90bxneq34M+iBSVuxVzpczjrV7qHx
hmBX1zhRnBrKxKqpoHFXBpaDLjFZOehYRh3nwn03MMAV+OQ4ziKdo5QHncdyxlMMvUJwr9GPFQFJ
gShZV3O1z8fSoeoV4+3oaHHNesN5VHpam3V/p+UCSVI1Hvwed97lYL0jVwnrkgTpNeQhs7ED92qO
1GGlk6aQvB5Pijjt77np0j80BY/rG0YfoOASn2drMq+L77TvCU/9vQOJ8tgpJS/15A6HpVbe1vB9
caXgwVy3oxc/JrXrfNry1gqHzWk/TOP4u3PL9pEnc3Ao/ab7ZbcjEzekl3XIwEn8IBtZj3tuIopD
4BJX4uJv8XiOxLS8pa2mKE3yCui3bMdtnBbTlsk5kGzrzAmzGxnwy8i5N0qRh7bQV5w1tjyStKi4
6ZqmBn+I7NZ08KyPyqH9yZkoucniV8c1AENXGUEz24Mmv5IgYoD/ZpyMPyorGB8Mu8FyZiPOoc0B
OCisGGF36CoOe4JKAidF0uk80gDzWB8nTO8f0qoVzJEEwh27GZysmjTTdkHiTWh3QzM9p7LAI053
m0uWO/yZC8g8B1nX7WYah/oYENZ4d7OQoEzeVGRYBkJRNWVEu9r1NR2RQSj/ZOB5JIfkbvjj30A4
sVqG98oKx70UzbVOjTcweP2+NkysCgTRaevJyAORrMc0MouQ6nFzcT9KvwDIKWhHfnerDkd1TkAj
NCf/EE9ZsJ4r6hZTOixLLMexZivSxuU9vRjK2lXx5OqDyGcVnlnPWMWPAOMwPlp55T4lsnH0dpCG
/Oy5FT7j2K5fmxJbOnSdmuVMwwt6Y3V8tSpcpheJdmrwkoqpqlPqvahC40TgWccn2IfdWgg85WsP
3PnazJwJbtPt+k9k5zzWOqgCerA5yWqImX+QDL1HXoU97nU/L/OHoe+bA5HC7GnsWkYCChYEoIMW
XURVYfsnqajU2KSZL97qVju/Z6LUh0FKbzdnSpyAswc/YeWTdIptM6dkw/LOce7qFD/01D7ZqScu
teanWhScUxVGxJXbG614LGLRflSuaB9dntZPc9W2+7w21DbpE9vbyiKFiUhPk744S+zcJAh8tj2z
ywTifzWoySenDUD32luxnx9V8WiEKjjldk6IEfL9hqaGmEby0GzNtybsso/Jy0d71ckMRA0hO7R+
zoTeL9Z+bX0FcZkThsvqhU4PcvfYk42OnL4dWg9WjRHbsEiWpJM3vWO/sV7YuThPuL6qY2j13tZ2
dEPPqpG81OwSD0w1BX3Cij+CWWvKURU6FZU6m3Yt/RInC5V7zZRmPHiz3dCwMNJ0Mi3ND9x6extA
D54xw8fqpUO8olggb2tcc3Wh7+aisocN3lfboWRGVegIFWiD3JrGaEqSA8Yj/UXSf4pgtKRviV31
F99JqrWRpriOqbxds0+012CB93aVt6gKOjiklV6u41CKqAMTKteOifKjkmCH85YS8boqqh45KG4G
fZJxjRC7gnBo7/1eL9Oxb/L0yDjTRLNtoVIyNohnF5FErylGrSd63HzrHtzPQmxJcClARCNn0Tnd
I5+19fI523WjnkDoezWeftM/EfWnV6SZk4om9q5/l7FYOHh788HK7WEbFxCIgM6E27r1jFUDSGwX
Y+G8UivjbdllzAcXKvRZGDSuZgmg38xdSfcnNQ+6q9+FOX7GHkZzpzja/jvikkPngIoJsGmj/2K+
bLaDhamO5rYZwko6t/dlh/vXIdVYRGDPg7vG4GW5m02QR0RYwl1gwLBKEN52eey5JFkTsfPMjERb
LVR7h6MJOgxutZU1VkRgY9Oa73tt2s2RXYaHBlip+9RLjW6F5y8/QR8vntUIxdou2St60G4Oee/l
95wJnX6Ty2b+UXZF/gE8ff7G4iiOagN4XhTmvU8MhugoUDS2ptWmqW74PA1UOY/xine8apXnp4eg
1xmWaTn1a2gkyd7Tk3sg0S23AlTGufZH8y6f2AYx3xavusERegSiZgCgtvx4H8ZxS8tLkNMvYwds
1K3F2/Mt4wZVlrFXjrK+xp5ErzvdwJodO6QnnjaEJpd0HGWUAgiMugGQtIrVsaDMrCN5gTLMLpE+
610S12DbPA9q0lganwu7z36nxGAcgzz/bB2Sdy3MHaJ1i13+jLWPs5enIm//AaBHp11OD+MczxFo
ofri0+KCeUKZr9Tyhfe84NpTY07uKQyNYQsVZ9y62uaa0E38hw1NuSksx79qL7MZoP0xQ3bEE6wz
abziPOEZAqAb024oa3NXSHJjfum1j8skaB3Vg+3cdRA91lm46E8vp9uESk53BwXaxOPpMZahSqPg
9eBTEGFFQhGM71mSNyfJQsNb4J1Z013cMRRkk3Ny+A1t8rnwNzDEmxeJqrIRvGhWpWxZNmWxf5nT
Mn21xu6uteE+AxLvd2Vj94SoOdycOy8pTqLo/FvjRznuG84YUZikeBxcb35wtYfRvaxPZVO+AFn9
MeLgyvIaMBO0kXWrC3ObpfV0MLKANxNw3wYTEabVYbmWbVv9VnM3XhumL6yUcXJOlyLdiyCZjr71
hQWFIOzgbqGEr82EpgnQhilnqWWK5nSuthYvJJTCZKbVOEsSmrTGeR3bOPWw/2beMZ3FGYbtqVgy
cUl8qm+okurI1jkThSvSA/ZrkR/SGll9AsS/6tX0LLmZtlDHmzVWE7k2McMge2OTSWYm2rhL3FMw
jO6Da1XBUZlSbQYrDyPfCBC1udtPI1ajeuU0ncUIWpu3y5BSOSTsDWDlMmo8vY9LIQBdZMegGHY4
pBFl0pvYyTU9r6camiZTR3aEh5uvOzsHlYLrJGJV1HDOwtpPmoUke45HhoIBr7vBNDsXu67e3zZk
rckMsbgqWHu2wH0k8vIQLxXPP0V6y4plY7Dbm40NDYnGCdZh+I4V2N31RFXeOuz9gP+T8ij1MkaW
gd5UGp678SaSSIvK7V8Qc5w3uGnykQk4PwwxrRBFHeM7qKXxyHbaeyyWtuBZ6VEtgFUnPXcwgtiM
twvUazn9xnzGEdqSVOa4Q/PtQFSGCTecCaOd+ir2otmMv0zNu8+Z1wvOBYJcxnObj8bJnpVYSdL+
e/wx/kHbY3iZxBQ+BXE+RHXCerSxGGCVXzuwBGi69Hx5NtOaZEjWRMIkH+a4nCLN6jFXumBOqLtP
aKh0bBgOeWeO+Ifesfe6WAy064z0hTUNdwOZy6MfFo8eLTJeQIOI7XZ3jf3WmvoyFuZmcYKtPYgP
vBrXejKtfZHqJ1a628SoHueq2yPT3V5LkNFiq1FrRsO3LgnfMb1Etso+O4SNdQnsNEoo8HnEZkfs
aUDh5zVTn91isrmOu+YQBsUpYEd+TLS7nESXGih8ARmNIti5MxugIk9ZHZos0KehTHZ4O55MhwRJ
MNcKRBkHvEUZtK17jOEH0+NwtaRV8RtLeXMuRh+yKIw86gJGnpFE6/e48pzIG0pzhxcl3jaFH590
6WECv62uQ4uTPpax3D+TDohXAVFxKJLqQOltucv8A1HoEwuzPQwDNmlW5r1I6Q9n0/Wdlyx3b30m
ioCKZ4O62sFIrzAEx+RM1gFGH0rYMvlqTCymwBJN20Vgp6uWUJ7SxlRP0oe1jAcnn8kIBEpsUjs/
DlX7U2uvu+CDgIeVBGa94QF/NGWAjcOqtkhM8oDtJ163ji4im03YhfoIRdzRBi7J9wc2YiwGQGv6
1kkekNDJg+Bej7W3jU0FnsHHxAjqC/e8NreC1c/oxCS2rObdAYj9qOK854Sjw/mhMj2fvKghuu2A
PWQ3ZTVAscnkR1/4sNzUFLJXNhJSR513BjRGtY8U09mf4+CsnOaSZKRHFurXHZqQ+sU/huGTxlYB
qfSesMKB8uEv1us/c9KxLTZlwyBut5qtv0jafW/RIMNr01hPXknO1jbMDZSwiTY+RTmATxEKby5i
rt7ewt05uSrCSYkjE8JeQHVRnfjVhrftD4HFO6P2wh0+sxtv7+RhzySpRVZcqY/RnpJurR1WHC2v
g6fOMuc7J05JR9sLpkbjFbKwd61yPXwaniNZg88s8hhbfA4QB6flNMaIYjzp0Lk0ThvJHPek30hx
bimywW9nv/MAB7ePGf/VYRnNilLMUTBbrxWm2SgXAX0THYlOsridhOzUDD+jCRIOwypJFvJ4q2IM
qM2pBNX19kGk2aEq9DqdqudWZIyXhE6zFs92ywt8W8Xs0rHAAsx4N2RAQRO5gg1GKpKWpVsOTxyy
+23pZpc8VtkutIb7qSsZ9TBQ3qc9FMMmnNe+hhNllSbzooVi5LNgWzl9RlYuy9ZuZpdIeZZ7p7Xo
o6AEtlV0eRxhONrYvbkRXdPAvbLU0S3ONFadKBbLuB3rp9vSHK/jMSYytKcP904soe5YMI5hNDYk
O5O20e8YX1lb9VA/OHDQDaH3goYX0AJEsjclFbuHbOjHrVEIOlys1N4XvaXu20UlvxJWCiBFnU+O
/M8Q5NbTPT3Co9V+++hcUEs5/lmMvsSEQMTXWp0NUXKgFpgMTe0HexfjAWcTnKkVcstI6PHVoflp
X+Qz7S0Z9XQbS8p8VQ8KBxlNdmfbRzHj2ABB1V/E05JO2To2F30hf09MIbdFexACHGFn6Cyq6Vw1
fIppwikHw+eYyU7a1NP4tj9D6ZRO9qI87d5xnW0o3CSJGPfnnFavVYOV0+T9mNvBhs/tIcm4xgH7
crZpSEASRln833KJe1pO8DHE+VNlN+nOx7q0o3OveDXoUYhar7sfnZq/V0YjeNGKODJiY9wktzRd
o5SB+IqPyAafJ0ywyQtzwrz4ICxMmqgOi6QIt52mD69RGumAZiKRJe6lxEkVJXBkkYjLAhIe8g3T
8qSd4OwnkmoIdCHpR17OxxG4UVEKXJohxfv2kbpWfTHb97XI9UPeYzGMipsezoppQkmFlWPbyVux
APLsyRUd6bjXhPSynE4Ug75Hwh+zzrHjpMWvLp8oriogvjRMmgxUxYj7lzdytphdvup8aUN+BVxj
XULCUslZiflUYwJ+jW25gJvh6LHpCbvANfMs8KBBQQ9T2VQ5pAhGMh+E2V5NlnnSuK25OutqISU9
C//Od9g6YxVs93wK0SGb6DNnefs1w1RysAbR/gHiz+gYu/156jgw1YYDjKX2QAmJxtm1aZfvaA1i
ALJEa1HsSXo8UrLybrSJqGP4czDZw6FEpTiHnWc/jZWdHMvZtp958NfXEeLrTiX4ckg2t+3Oziun
3ZLsptKtvEEzOPxLXn34N2e3BXzrtSNKWDPb6WcgeF5QMz8VL7YVQJAgpe3PU32ft41YW9r9iUPT
+WIrTvU6LKv4Oy6z6pkx5COnSXLVFt0DLMtnOyxUpG6C17hM+2GZ5bZgdj5pDcnkxuBdE8hRe6oQ
6k95i9gGkppTSj3NjWpgvSbIg7TNFMs9hktNsyBBGQwvAbIZJhVuLReBTowcKRofB24u74LCGdey
1T6NZcOLmsl5mXb3RlVru+4y2uoL2xN3C5Txx9no219uEuA8NmN/2jneSF/U6OKpkh4HmyR+Timn
OZBVZdwZKU0NxpPO8pwHns6Ps+3/yRj/b52TQ3Rr3ONJoD25VmMQPtP5yMuEOiUdjYNVn8US34/+
ci8SET6kfgCzRJVy2wz275q6hVXnZc5FV8zGXb44p56Wy08FvnwTN+GvcLACQKypwrobuOtZUWhT
hw7sxCou84NWNuAH8J7UGB0zpqaXvLS8O2JCLakzIzmOlIzsOdjh3+vKhyGDyaJZTMFVHs4Wg3of
DIoiO1TJjbKX/oCXzbhTsw4RMdznVEIDrguM1kR68fsYAm6gDZSi7vjm4ZAOlnOl09OEwQHpPYhx
BlpBwqG4KEKUIVGchlo/WnbHzdnVmHUm+sPsOHya9eCeUuCEJjcRUT6MLsoPN3oon5syv5sHfEqp
oBBU23lGgUth+f7aG6n2EDUJXZsJh2ch0qi7GULFM3mCuXUKG2cgIYfzhYt5IgZhCR7IVtjJl5m2
qu8GcjpeohSvq9WRYMVtcWi4DKM5kA1+Opy2eNVqoltpH98D1F+O84DHKggHIBAyf/ES8SD6nJCE
G36K3DqVOjkHqN079wYgAy/4gK2pOGXEsjt48VnVveJaefdUg9DayxS2io+X+SHuVRotLFieOrxp
a9sA2uyYTXdqaUih4UPAqbBzsS+6iZFG9000dMTeFsuP2lRiVQyksauGkJTeg2bXdEmmND/m3Guf
lY4BH5WQPSlP7dBeRo87IKFL1Rpt9mKtW5mbQA7HRLkBPrHuYAmep8SzaQoJZlaCxDWMYgXQhtdJ
VcYgcDzXRHIU9c5pgcAASK/sV7NN3dsAJL1DoMv6i/wGFntJkcKZPzQ/1sH8MgRIVKVhbxueb5dw
Bki9NpQ2ftO/gp9G5NNDNi0KnDu2qFXYDea7l3XGM+d+57xwKb9issbZjsaegpRP+yvPBRhtyeiW
v6ivVL9Tf+Bch2gQKpZCReEtJwrXsgL11h1fvaHPrsrQ3MZzwS+BHdOU3uEjg6u9DBljZimd8JlS
nv6Q6gb3VdWZ6mPC1fCCNy2tSSuiU9UJNT0oma4LxL4BgJLADKiJx2giuEtSgfIBq+MCNLb97AWH
UndgHcUYV492tuVE7e79scpoQGykzcfakFDCYlLvuV//xqcK73gefnMsN9SqzZo8Mlv7d8nAx8Jt
QbBaGTmSSD9Cmlb2QHdo1/BPNBJFv8y0ODJSmt57Tb8cbFYeA/3FIDrx5ZQ2vrvejhuiMMr7zhnI
t4tyxSGIE3FhywpjpgMc6yl2wmQEh63MSu9hFC5PtJRGTnPTwk/dYuVw9oYRd+yfUtpPA9Y+KF31
ilFR/fDTGbf1oGmdpBVyb2qAcdplDVnGFhg61zPWOY1hlwGcwBPKWkoMvVovlPeYN3R0hbW+wP3H
7ZcrshUCTqZvxd5X07QQ2fD1t8feKKsXewityEaV3fsa/3M5GQVBGUDFrKLpbXBarOaKliPTSXxe
fDrbslHctRMXcLIEn3VqAh5p4/yeC7/dLDjLDtQ821dTpZ9hj6JHpSkZg3FSH64cxnVPzGFDJdj9
SJ4msmVFsYe5jKsYcDEtEdUStfM71IiiN1uCIM0dG0EIuGNrvSSyjdRcAJzIguWVxK8Z6QQzy5iP
U0RFtb+K4TE5FJOsYeJRzuaZ6bZ3jPhxlMCk/FH80vGQzhuiA+3GDFV3yQmIbDQS2KNbxPhh89pz
n1k2Lds0zeOHqYZzN2hDf8QYXMsF0aGAeXutu656rQmJUd5AHhUjUfYwTqGzUxg1b1C2FjsiWxRg
Y/kSh6cMWZJTB3D753Q0h0ffZuGzobgMaD7VadnJC2kb41jqWqRweSd7FKgDGddPei4syixHtXNJ
FxEevm3VMuJSECW4WPzN7U0NjEVs/BBIksQQsMLVab7qkdSqxvuDmqLK22LWigDdK4AqEmZswpQy
uN0uoKXvkk+52lag6SNqfH+xf4tPDCL5uWSaXFctB5o5I33kSR61FBpREsfu74KL2HvzyfjevG7b
PHPmfT8MPp14sjvJxcq2xdibj8RU1I4lAzLngGkW7WaW7W6op/gpVVrcIVfyreQsBf22dk+spq17
fqpQPIQ7y4sVj96a7VpN+8fiY9lMZbCc60X7xLrrqtyxfeEMyNZNH6cuBHXuLlw9aKnPyeKOV2eU
9wYxNeI57aXVgzi4JWE1otpec0rqBDGupRedD+jUuM2lVdBD2PxpJ2HVq0mwUvEbZyTIJIztYJTx
nt5Svl7TS3tnMSic3Ft5WzUPn4XCxrMJFXW3kNnr7JXf76/ZbvOdRkTg1cVefZVUFsc2HUci799N
lxazlHpQUugWdYIrF5kOcYf9nRm5roOBd4FFv5nA3UDTstRpXrRYB209fgyzM9/nlF2uZOvnqyHl
YNA5DZxCrycMJjxeNuzMmf8BaGWPQxu0yMV571ydhCf00Jj37Bq22cT1C+7m36g7rx3JrXRLv8rB
XA8F7k23CcwcYMK7zIhIV5l1Q6Qreu/59PMxpW6p1KfdxQFmALXQhVJlVDhy/+tf61uPIrHij4me
jIfarZwPNnDuyYLlB0/QoKqx8ggbKdlDTW9CkUBV0/JnjYXsORclSO8sE3wqhLbSYzplySzD0R8I
GRK6CMmIcy8I3tFAmTxARp59SdIaYxCtiAqqPov/YZ8HGQy5ejD1o5+GfLXx9AMKsIg3NdoLnfTV
dzfgvLG0804/oj5zt+kiK3r3ECsZE8ze3hq9iOhptuC15G35DWHoBSr6Wz+4Cbdxu3o0ZEAhUUn4
YcHtNHwWzJ/fmhHzMVchfdz1Fed0Zo2aaUon3K+YWVa+G3b0pg/ZVY3phI9a2ecmTem3LZKeyj8w
NEuUvmYjiM6Ym6zo8WT0i8jrmUQbDci3sfwacGJkic3kVFc2XmJRhTm9X+QSh53SJDWSgaa2WjnI
a27q3ckByHNouB7dYfLQ5nKScMWhfbgklm/uZNP4zwRUjMcyhllNwyFkGCPRMXNoZke2atbHtbgS
t5Hs0Z10APMsvGDE9Vi589DCTATVqFuH2YjQ3hFEXwiYhAD55UlvE9jXmcTkk022LFa5cgB/leAz
lVP/iETYrJqcVA+APuwMVZxMa2mIBwdtfxnqwt3aXE3JP43pSUvkxeqyaVPb4NGkNTm3Y1XmzPtw
fzpq4KD8qX5uJfb6ihEJvAqtkekdS1r3XmrmcGGBbb9JBVteG232apneHaLKGScqGEAdGHmg7s2R
LeMI4LVGh44XVVtNN3DL4TG2YbXlVorfJRxb+hvSOxLW8WngzLWL4MPirVZP9DMEqzqCLbEs1RA9
lvh1Ln03WLQPtmb0RC8eOwJKRTA3hV2xLIwJdtWQLUnWdMSPRmdfB/E2SPvgYKWgF1JPqUNkWbcF
FY+r1kjVLsvHbI+W0S2nsEj5Rgz9QRQYZ6aoQt+scLovPTXSOJhVuD5AVBNLNu5U5T3SQdFfgBlm
K8djioupDFylvRWs0iG6BuwJQ9xQO1PhO6bwdTzSYIfymgzZbZxTWJlV8d7gOHulZBrdgCHq5I4p
eQiGJ+OmcNx8h+73ruriwdSB+fksjJRmHbIyZWlDprrdRXSBPQdV6VBRkrpbC+zbo8CtDlqCnTS5
o+wgcruFeglNJIBJtApBEzwlMS+UqkkaMiaXNFuwqNZZPtTzJZ2KOxza1GOVfrSjRR1bR95i29HL
YtPHII64fY2SFIbPXjYw9eTKZbqjitskqcidI9+wk9SPrew+i0qg9dS+tfNCkjkLetgLKFdY4/F/
jQf8BCbbaX8AG+cPtyrz+h0O+OkOi2WynkIPScoV2V3J4eKub0a59oO0eBkTsK0klYfuSJ83XRyu
UD/swaA9gmDQIpgYSlGkvTLmmz+VZ9ZL7jc6VMZVEeaoBgHMhTiT8drKrGAfEabeU7slryK0gSdn
NUL5FCQVXDoD8BUSy3vSs09ehNRKLg2ESOwOwj6Odm0+i7gfuJ5NNarhYNGCTCPSkshmgm8rZJ9g
me576bnmgYOK/45IOFfAzlKUUZIsZghPGQQIyarmeZaCvukeriya2/TmZfJs+YS6Eb7gT5vOaBvG
2nc9bT0BSfkMNFPcjYPN5sDLkwcv8oI1awHG+0ybq7cLwtq60LdBW1oQ2+zgroOv7C8JcyaHhjTF
j1wY3X3G7ZXFzOidS7e0LLwTSbpLm8hca5HnHdrUMDZlzb2G4TnTL0ky9i/ILPYNK6uEdBz5Gz7y
UDDYGJj3acsAruVjfB/n2ltUV2pjV9w/aYM5BGBSWOdY1dkvB/FqZR2yYsx3ZpHlZHpMJ9QwBlUp
FptJ7kFGatRda93dNLEuXsi+rVZJ5hTklhAyisgFCutK8UNGyjvi0KHaodAoQQan0gYXm8PBhmWc
d6D3NNliyU752DLqMzqjFrCNknd9Xnt3kUs7tI8R4CHzQELqc6GBxSzN7dfYVSll6VYfxACIk+HR
7mmQH5viC7RL3klyrF1xRo6/ueT7EKM1L3juTMCuhEajHtkBfXvCV8MlikqFjaMb5rGW9vSaFaEN
tYbtXd2kxtJl5Fy6gHNpGknHe9SwZmdZQBD6adbeC72tf2CuGSEM+db9VIoJDBnUMt43qpjAGh2K
mEhFx4p+yVcVtIOZ9sgntYOuMNoaYAFkcz6WbLDT4ZaI0DWdRIMzrqEvzfXUBjcZZ04/JA/H6ua+
BuTNxFxbO90sJVOVEj0QP3bvPyYIvNwppuwxhuHLWZDG7jCx833e9d5tFbXV2fTq+BAI/v7+hFEQ
NqqpeMnFJxcc7abzxrohr0kZ+oJiY65B/xOvWBRFMhk3QdeDFk1U/mnBZSWG6SUvoAl9VihYhh/t
hP2Hhfvq0mVe9D126+7WMli6oNNiho07wD9EhbPrf4tdfvuZ376mn/X/mpsF3mlFpucwaP7z518S
KviteGD12rz+9AsOTOQpru1nNd591vBg/5I/mP/Lf/U3/+PzXzLC23RQSmvmzP99N/zDZ/Ka+a/Z
60+pjN//5G9uePGLQTgWGo7Nz+OASPLht1iG8wtoFN5cHFQ6d2+JGf23XAZueEx3zF+AicCO6OoP
hZvWL4oUB0UWJJWZ5P89wj8/8c+OeMsy8Pxii6f10zDlTKP7gw89jFVYGxGx95oBz55n9nSe3vkm
tRuX7donfm9OZ7br7qiVmfdACZinWQOwpxQGG/Q8VNovkSDhW3CtZ+VAkE/aN7OaQPhquHVmhcGg
5HeveS7GIrTBj2pWIqZkQARyhqJ5q7+kikiH5o1zJbSfbUsET82sapS/Chy/ih2z7oHLUe1D2KNQ
W3zLxYITMXXHfl8t2y/dxMr6dy+cqvWYqaOaxRUMHTQTfikuvByoL1BUzF1lq3CD8x11Jq3Mag9w
NnqkQw71JuMmP7H0mFUdzZwVnsz103P8pftEpiiok9Fci5SsCjN4DohE2SwX0cyAckS+utkXbuQ9
EOVnbpE09WFqLu0A/1pFD1P7pUM1gRGemyTpnqovnQofBVsEnTarrh9vxSi6XSjq/j3X0/S7Zsxq
V53UNSSLQQtWoGbgOs7CGFlf49QYhvYQxI7+rOWzgkatT7cfy66/duTm1xXzJpHLWXXzwfvzF08I
H8f83dsA1T9X1S6f9Tr9S7rjbc7e7FnPw2M4D3ehLvlLKgQ/OojybQx77yxTylOgSM/aIBTQhN0w
rHs87jjHv2TEEUHRDDy16ur+kDssAuWX7IhAeddizF/0TORi7m/OTkAAMPyGs2rpB2WEWRYlkw9U
i2XLnhVOG0bm2k8cBx+vu+pmHTTWWXW7U2XvHEbAp2LWS6dBA2s4a6gaW7UlVU4l8Xjlb/M0H5da
0xvnwMXkkCga54B16EeUPEhgrAE26RTr38tZ6g1MoKf5LP8SHc03FdantybOho1uDCjjuQyQ2tVD
WfbL3iVMDvs9uDBs9Us5K8yFATHbb5X5Gop2PIazCu0b7K9tdmqGU9XfdL14IWBPxNMZOiC33ROk
MrTr7EvHplo+vE/hG1dDdCkkwLvAOkBa8x0aBuKM/SRifroo26KFH48bdamDGXGQlf3wge8BRZa0
0N25sWVnO50w4QFvrffMHU89mE2UM0sZwlBgPMiLLIrBwC8WVsl4jw+aZdW8N9B5+Wp8XBBBpHLZ
MP+6acht8ymLlHlrkS7YiaqcyyTmhQW7k/CHPm8zKkrG4LYNXv2mf+0/2nkV4mQCM+rXfsS39Qpm
iWWPF2QEcIqwOlbYvfEiy0n5l2IofWIr83ZmULNzqZ8XOIZrdy/FvN0JQxOOADHo2xh3fLXojW7i
J7EkSrpW3LmyZIU0AX6nndLqHgBRyMc2dXpQxbRYQqxIH8ZG5hUh3Mh84/Md/oCOZBiwsAXHfbrS
g1fhsRvH9UUuAZHPcc6RSQnV+LU3Y9XDDo1YSrklO85mLbW8YFvM67YAR9ZDN6/gvHkZh2vUOFUa
i/8FL4p9Cb72d+x/xVqvGt/ctnrrn5GgxbWb139Rz4YQUSR9R5TIeVfnZWGd180pmReInphIbcxL
RREl6jb72jTSFMbQ4eDaONrzKtItewBDootO4mtTqb62ltW8wNQsu+eQw+mCeIxgPxk36VURNrgz
5cBWvBBsCw/F1DuPfpLqxrLlLv6OLZf2gXmUcPQCw2xllRisGRRhmfOdj5BmF+7QVWtPy+NtmPZl
vY5DFRwMnQrl3s1u9YgEw0JolrYqjBnUxyprx+4pvZIBoNiCL+66pkt1W/EvBvop44xFdTiKfY3X
yT0Dv/Rv4iFV77Hhhje97zG8yHw6lFXTHQkJ4MSFYPM2m7VuOtblyyjzSHWnlnPEC8Z7KH2wXG6J
dxXdFetenR2REHAI5Rb1YGC/3kRNJd9set4ZZkZjRFBuWPV9i+ykYH1MPbKIceWUMlhpUdx9mHn4
GdWFs7YBUtGaKMJll8NCQBuguNUst1ZrmbQghzBeTNbc5HCuQsuc3Tj5GZA870AVjGUvcoLg6ybR
xuexyEBWecJna+qZpEp8XyvWlSlpjkoeptQZqOft1CYPiudEBz6RFI1Y2VX4Fmn0CR4kGwdjUbjM
HD2xGMTCdsJk75ndnQCBfDN0GqzGuGhuKymPjrK+t0Oxo+q2WACcAKw11O0yHWntVbk8CSpLFNty
xTLPrmixx0iTm6vcaaOjNDIF4aSgdXAxH0K3YaDzf9vcTLelER0qGkApS7bGclxNAXXkuAIb9JqQ
xMyuq5JXVFsiEondvrA5rN2lF4zYT0b2j1mADLzMDK28K5uk2k5lr4AfoRJgMBraY0r7QbqRKa2e
NcW09LRqxmfa+F2IMN3N6baiQT7XNT+hMRnZg+7gmvtAKPGFw0WpCQJMSWS/Z3ndnmduxJn+NaTH
LFErhEdAbC7WS3gpN3muzjwtm+4ba4weDKR9Y+m5DXl4SCLDk+cFHy4f95fJslcce24gw7TQg8vo
lQtieRfaiI9gJhlhqqGmMcSAUENNtbxGYA9fNL/U176TDIfIqKhFo+8U0CVz/NIAAnDDett6q2Xs
fffnnYIvwFrCzbOJdWvOpjKK6jF3AI34uDGT2qkPNiiSSxF5/lNsYR5OybL/gNCXPPedWWwku6uM
ql+AwjsSjdWuz1yrWHTFLB0WJGXI15jZhXsArcGMCrcUtdOQyoHsCURjfBhqbTiUEuSzUZb6HgdC
ww3JsU5TlyHqKxlioocKtrDcZnoHpaDvlN/UK8OavE2d4kbCCGpt48DaTk38iAF0WszaIPiNEmGq
WsmaGly9J+s/ZEh0Cq5K21efhtkDJ8j5KGIAWUvdzpGbs1Xa9OnKtMG2yPGqYbrCRI53Oy5Gaxdi
X3+1uJ6xteFIYdXk0NaM55uiIUMoJ0nguFLqarNcOAEf7kE+1R6JJUG34ujBJ06wxXQehqXQkLd+
1x6lHH8ALGY90nGbwoLAaf8D7/LanCwUKclR69aNZxXVh9jXTH6w1SZEqLrnruIigT80VK+TQJzH
0nDo0ICGW92nQBRyT00hDR56r8NrW/e+sY6BcS9Gs3A3BpeyYInO/MIf6k5h6kxv9DMNa8jC0cYM
/OykE1v8xuutwI7bbRYviyJ0NkVA/Ynl43nMQjMAd+8416LjXu6xVDoG1MaeJQvwW+iq3pVQrjql
ehafZrsO+A8CSBe+oe4A6iyoTswh6ZWYmvU56YMPDdwjHjdIcWu10j60VWJ9uoHn3titi12kD8J7
AznmCOLaRE+mn/dFE2lzw2Uz2VOSSFl26bz7LXWlTgarxzej9rYxhXqBj4AFi7BOthDc6DkXGVFx
U4xlypoT6M4+T33WBIFVjFw9mpkzNmSU1xCORf2393R7jHdeFNUTamN7yENnzgS42QFz5PjUg2I6
D2nwnNuOd9G9Ima5q8qd4bC4G2Nja1Tsikc/KjdOaIt1WtEQNQYiv0W1505XeEQ7OTexAuDi3Lo2
eKQ0tr7pjDK8zIpyjpYLHufH/DkAwgHHJ4kPwie5YlW1eVKiKcjr+XgYF7TTBldfQk8lmgrbt5iG
d2+EvGSzkKJWV/LIYw2xx+E+PjiOf8yd8tFuOv+b0jxOmRCvV6RgX6rKp2Im3sK0K/YiTV6HLu8u
3FHBixB9oHvMaskL6qw49LFYMWY1C4VvOaQc+4F9U4oozdK0i7puD8ZTHJyhTfDsxawy0tjb9YCO
XR04H12z0d5JPvpOpy1TFcY+YqunOMLi2YAP8j6SEjkmuFWIH7FO3kjgrZC5ewwGOVNfNvW8fGZv
njVLjdspiKtL32YzmDIv3mZvEntC0e0j2fQLIgfOgtGH40TparvGGZub1NUB4fvheO95IY4smLiv
MSFEnkqRrNNsCt4ZxkAyWRU7Q08jGec25aOmTf0duw5UZlQQ8ZI5ufY9ddx2U4Z6sbOG0QW/4iaF
u5yGlKGnUeJSqRRfEYzsWsXspzuXiJ4qxtFB9YQ+yCTXhTMnCusxRurnMRt6Plmsckg/4x302htD
C5Z2yS0lp4zYbudoaajgCPJSN2S7IVpRfUnimh0D6VG55HiqH2K7gmvspJ9lP+x6331QreLHiC68
hNwSZzwV20rl+JvRxGvKCr/ZxzzLl1LPu9epE9XaJaz8pFnSPUG68t41zkx4pdqMEosKyytvj7km
aeNgFqff10YKe3GU13I2sqx9DpNr2xoaOpELP38tMA3oyL3WUC0yoQ2nMoMghy0BMV1STrCgNrxk
WT+A3fGqSL3r0E5n9jPh8DHxnO+urdl4XLDhPpGdFOvCHd3bpp+S5xLm9XYMvHBH/H94JfSXcu+I
6bpKIHZxLcumq69pxGKsabhqdd3XC8RmvBIufGQvdqY9OYDhzk3d6tWH8Le1q754pk8Fos5UG3tn
NHGVxH11oxqJPF1Ck15jwtJX0ivza2M1+J9aFg2f+uR3D1pmswCtO7O+YcXK8hKAKNGPUaqXpDbK
rVPLHyEenYMZBMAXxzE0Lsqfq8cSI3ziwtGwKSXxtSo0q6Uga5IHlo9yo7Gnem6tmJPr5CSXjK87
xVFJTrCls24TKFNzPH4aVywS+xQGpKwvMeHiM4frqFgYfj7uqkhyqSm5id759MW5IHutZI8fS21j
UGb3WBRbwP8TbogUQMjKZYo5SV/4UP4oKLB1etBzA9PUWMf+kxl9xTs8Qy1cQhB7HPKQ6up+Qgzu
6Skvp/65m4yOIL5nXrFDczeZIuMplQMtKp2I3nyn5V7k9dOtBW0U+Geh+6eKTP1NVneU/hD4QsbH
4UikBLL4hGKdU7NgW6+dqQVgbGNDfwWoHZeIB9PwzYzxyS4ke61g4TTUoCPk5y0FF7VYG7li2i09
bSJGHxc33MeLl4Bk9FPnlNZ6KkwGA4XUOiqZn8FOqEfbiZ0DAemBpFlnrXpNplQwjRyxWCTGhNOj
sHsWTkMlI+WoZ4/U07aqxQTbm5X1yyQ8jUMD/XxNoZIjkQ1OnWE09+PhDFw7s2sE1rfPW6tei9lR
EmAtmWaPiT4yg/M8xFJiQOkwothflpT4y56SzdqDmD0r1FhAD5h9LOw+y0Me1223zqbGftNM5ovh
y/zifhlhnC9TjCEKTycYlBE8xzNTz+6ZcPbRhLOjxpLs9LAIY7P5b1F2b1iW5nX+o/lZy/1/UtoF
SUJf799Xdf9PXf/c1/rrH/hVzHXtX3RhSLZ9Bi2rDj2/fxFzlfsLwBN+tm3C0aUVlt/5S12r84tr
O5ZwHSg6BsLy72KuNH8RErKJsoWDDutQwPoXUftfgOzYYsZZ/443UTPiGu7KjNV2HZPH+hPeJA+4
iQRabey8YIKlp6MSinUrPCPa6jkZejYkU3JRoUcRA2RRxcfJHxsMSMDb02XQOFRFVMC+KUQg2QuG
S6fawfiqeRi0lmssFUswPdyKtgig25+jmLPnDLXhwbSoA8eLB6PedLtwb2f+OrKy+mKGmbzSCoVl
hlwMviEtOw0SQamm7/GGmpV7ZRZgxhxS8noBrS4nH3xDhHNTq2IVmX20tmwDAittEkXbrqaqp/f1
a6Sfd01TpfKNgzd4ZcYtIAWL4S0v3RvP18Rtp9X+1pxo9hBheBwlIx6jsk22vXY3uWV8sCOzln1X
vxPw5WJahArNwZpQ17xxT8S0uU6u2x/iUGfUK+1umYyiPmSieXUGTe10R682UVuYq97lMVVof3qd
I26bcviYWjI/+jCy+Y20W7t0sOtP1I8Fe803Vk3qfRtK44jx6WTiUgB6fUhNMQ/SxN+dUns3c9Vv
vMH4SNAfanPmiUOApnI9X8reePBdfMB4nae1BfAb5EueE/eIviUB7VON4zzbkX6KKqEWylnR+Vch
rQ7l2vU5k6hW646ir6uFLMUhRRcly25ugYDgJ0maS1wVZEymoU6h+yKt9IX5NvbUAaSVDWDasGnP
aS0Cw5XZfk9rCXoBxp1PE5pNJI1gzCXmELElbGa+V1WrbZO2VOc09QFTD/b4g96TbkHfo1FiSBqm
I+HR/lQF8VkXRfjDRB9fQi+g9sCnoSitoQ1aYdJ8FHGLOUSRy6MHLSbjuhS+YPk5aZVxxofhsUVT
lzh33FVvT3fUXlxRw7ea31O5kIb9nlry8BiWDTOkHnvyAgSjXIXW+J5Y0bCh7+B7arTdTT1PEjIB
j9ZxDr5znBb+CSFTlHmFJ9MmohsBQc0opaLBKRuPTeychWZadw3TiTg5jhfRPkZOr1xloxaSvjHj
tN00KbaOpZb0Pjk3d0agRh1PdpUUVGcsKLNiaYuLPU2YKql738KFtXnCWiTvGFddbH40jGCkD40M
GcuedJqWuhJ3ZoHN0l/XDuXxJCeD0MZ8SZ/Fyku8nhxHJBDwWy0LhkXmVwQcNJPavV0rXA6ggYyp
rYtiMyy+EeCukIO1TDUMUKmazTZ6TqNZpzI2iQHuKJgxZMyOXhkk/UYRmRULH1uhIlkCx3sfW4mW
/yjicHJ5XEIAG70OEnfpYzZmpPU8ULNQd5S/ppyKg7UPIzLfBoYNvDW3cK+tOauFwcZLNVV/5LKj
+C4XCiqM4DhLDr90re+69MdvWc83xm0irNl+pUYO/ALkHSShgKI52SeEVTsKPJa4Bmh9sfIEiBOb
cl4sJ9bI6ZlrhlX/MY50viENaSoZktqIoyy9r2HUfPYcEk2SaT3yRIztPL7YdENFm6k1M7VOGxgC
t0Gc8e5j9wu2fjdAJZDE8pMlHLbJoDoDc9M2bQNH7EmTN8l7WWltuHGdmMSiTJXHnNQJtt2uA3if
Lcydm036GoM+D9gW8aoRZGi/0XHqtPvRGyprUZKwSVA9bU3K7zSH0pwI9Oi1z3KKLZNgKG9aVC2s
uGqiiWxgla7m40EAuU+36weqch6CZnhWGT2VdVaOLwr1hRBFkFyNSHDZC31gQFnW3JuOk2+6rlYv
viyxDRiNOX0X+vTR2y2Zdb3NnjytWhUuPM466hYpycejzc+lc6Rh2wnxcei79NRUHYM1hTu8ogSk
55x3z2k0wet7HismAo2zXLv1+6KRaIvsxtYyY79x5Kr91DXm4GzsoGzuo9RJjDsvKTtvwwoIrzpE
INwCGejqEav4cGclJM13iQmhp9Mh8dwnjgg+yHIJa9GHaR2sVGWGD1VOTus7Xo+mOkyCczpL9ZDm
lpJqJBHG4w7HytuAi1YtkMmphVZENUBRFDOSvibDPNTdpWnG8GxqBFc6YxhulNFex7g19x46zlVh
hsFvhAVAm3QH22QyvNQkQq6FRlcmi0fXfaCtdQRtWaXJpXPz/C2jY2PXxlO/97rUYS/WqvTV9kLB
5MMC0sHufB4ayJtkyyP15mNl+JaEUDGgEVlAlyqj9eKl1xjqh0JGPBUgeH94Qde35O9zJ3mAOIJP
ARB/tZSGHQTwjZmff4TKhiMRaYF+G3edfUc7nP0t7bVoG3ahdDYuTcHJSQA+4aowBmstc6uH3C8L
f1nHfUbJlsp/dMA2nvtSQjQozYC+aSuFsIBrD59VOOAw0nJSLX5Sa+kNSTDzgbB3mZ6yYlAxcc0c
1j3Wii5aM+CrZyf3DbWManfYRoWXywNzgvmRa1V3tWOpHvScttAsxM6J6dZzHpNKWN+nljtIOHJV
XTjp6D/bnUaMakB7WSRjQvBuJL2opGPvPPzOa+FbgrS4bPadKemf8E1MasxQqCRERypmfZzSJXHt
0YR/5U714xAI7RaLG4bWwa/RJ22aMMjlahBUZtd/hiTTlckIKRpmGtbwMVkHSZMf6mZo5WYyjNq6
VlGXPKc1S7xN7vvGnJHvPIN51IXf4maVMWHGbxsPxIBkDaGbqNh8MAlHXTHpauMZSGsgr5o+4o+m
xQN7CszXDCXecNB2Ctwx/opSXaoxUy3ujUWoMGBt/cq1/FOYafa4pLC6uwrihf7BLCZLP/Xw9wlH
uSS9EDTyOzcfZpEq0sb2zisBiT55IFYGuCTE+BhIJdUt6yzmK+8Si4KvAeYoBum37ZvSffCG1L5G
nFwwxHlc923ioTvNnIyda6lhVchQ7rifpWfUB1K5Tq228MFIe4CzJo2DcHeqPVM1LCQM7RhCwUAc
JqbW84HoqvdB2SUV7GPO8cHQb+uxJ1ZTeXc6X/hlhba1bmz8r3VSdM9KtCX1YqH/GNUlQNu6Bzyh
F7b/QF8RfC5ONxnvcE5+clRlccJ8BpjWME0qQUiTKN7WorEQ/Ek/NhcJhOSs4IpAEAiMRxPvQbml
pAS9OrdjLstpY8PWL6Io3WvKMx7Z3Ye8zUhGPm1UbXs/4LJAoRsV5h85+R/c5rhYelXPnNr1geHT
/al7a8H88VqI1KWrUk8uk5lfSkcM25rNIWVTBbuQbLJOMEoUOGTrWE7UzWeyefBhJotFmHnHHnjG
KzeM6J6e1+SjoHdgW8alKDe9ocXEDisPfdV0yg/fzziC5RRh+YlO+SiY7XBTDIFDAiisIpaUtWFu
SsOZ7X0GN4It8SPfY9EBia3Oe+y//QA4JwY1sCybMX8v6vG9+SpnawQq0TLX5+I2EoXQWfAdRtGv
E+rfBYvSL/QPJx5mqz/aVwyC7HoOlGdv5glrSMOqq0OWaNHDH2bA30at/8ja9JKHWVP/7//xXz2M
Mtkwm5LWDggVPz9MN6VZ7nlav3eGimgRbJuIhufSdP7J0/kZkzoPcPP7K1ju6UyE/PLnxxGuJhuS
aO1+QrF7jeY7vN1MTAT+SBnbctDi8DPpsMERj0il+iePLudX6+f5UQjHMBysQA7T7Z+fZtj7sVZU
RrOniK3YEMlr7qVK7Q3SDo4ZDNlXVX5tvs3xJR5zHGycJtCDHyZOF+bXMUP4ZKNmD5/NuX8aLoOT
53vbKHHMUafcFItomgv7tD5MzjXiNVXCzuThWAxy/Pju6R+/b3/7hJiEdYeRXRdKgvz8+fWcAA04
Sd4W+ymsayS0OCSQ2OUhojTiOdsKLuPK2P+7D2rMkFuWJpxMbUf/02eyAitndpjveFB/OhmOwVm6
wRbqH0JnLLGT/VWd+C8+mT/7t+ZPDA82I3zRFhyuTrMk8Af/lu8aks1lSmHEFGprq5IfQ6xtUn1o
/smz+tuvACwRjiHKIpdtGtb8+394IJnWokDszfYhCePmjAPK48aZCVj0//gZQRb+86cQg5vJFMkx
UcKU+NOb5lNdFSEsJnt2QvYxaDlSgIAP/BPqh9GuYmnImvbekDmvCPr6HPetYV7grqEmcuRrv05/
hWDjSOTRm3bD1/mw+jor/uO/6t+8JgJ6s6u7CDu8LNZMuv3ja+Jrpo/LTYV7urZ1Z1+otrkM+cCw
9G8/DhRmy8L3hw6Cl/Dnx7HLoC59vw32GVYUsAEEisLVXMJ1+Hqc3xyVv32afuU2/9WA+adf/udD
nvLPn5W8nyybf1fv++m/+v/L74kN09T/oTIIKf61acL6b0DccC1++8N/BSCbeBp0C4MmABbd5jv5
q+VT6b/IX9/E2cc4ez5/VwmRAnX59UXGz+wgCP6OQHZ+wSVKxsA2Be+/4xj/jkrouDhO/3CVpzqK
zyoEblfiPDW4cPzpU6t7URfzv2HjmHkgN4Pg5t3XEWr1yARK12sx1dG6igUny873xghSQ9EisA1y
0BaN3Zh43mx5YmE+F8HneMtbLy1PXDiS+zjstQeQ/cHeH1hE2mkWHDGKE7esLCfd1gP9lI5R4DbJ
6uCjM9SEFIluE6wwQwY7b7CTJwwyRBS8BPOmLzI4LgF2wqXovfFqU4YDwnC699svnhIZNlz1zPqp
tSYzUx0Dxfl7UJYuNyOSJ0PR4Dfwb5JR67eZ7MvbMB9hf1JEpN976ErPTHD+PeFPwHu6jN5KVJSb
MSlT1mZaN735OZLDEHCrb5q2eu0Jky1dEe/hVjDNVQbjeh6JmH4m0tGXoa6TczHF0TqDz7zI5ED5
QlOsRRrIZWhUciPovlqabUgRQW6LNxWqgVK1vPUk1V0hDSoYTt56G2oajtaEVWsOUxGjmjHXvZLi
XISkcMlbShgrWJ76tWvQa6YTG1pEeEsOpCW1JYlLc9nYERGQnNQ5p0Jv5bC/oQi3zoZlgmkXAu+A
oy0wp5jOB912blq7j17DzEw/2Wjr7rbqRtgCgBfracFirz5NrmAPbAGTxYQy0fPkzsGUJVJvQwMZ
lUELSefWTaN69zC4GXua2qsbNtwJO2J7CLG/GI60lxWx++c0SUGI0LcU7IyaxxHjzABBAFDuMvap
TlyMFsSzRe5VLgEdl00h+cL2o6iyPtgQsaVVK9TcrdM6IxEO6vHYomNRxgmHxwkojKgfG9OQF2Q0
8+TZbf0AYCR/9fGvRogUSEnHxuejuATDULyXpAlfaheQ8P9l70yWI0e2JPsrLbVHisEwGRa18dk5
OmcGN5AIBol5MgwG4OvrIPN19XspUi1V+1pmRkZGkHQYrulVPbqDQJHmmzDTzYeNG5M2CACp+THL
Kv3E+BReXNe2ot3SmPAmAzJ3KZO2bYkEJrbchpPSSADV9AqLpWTAp6Lja2gIVe2UbVM2FuTlLzJp
NFFNM79OxZN57igAA+/UY1bdaPhiJPooM7NoTyI+hja/IXAkzdHi0kEntjGvoW+aR6+vl7MDm5Pn
Nm9PgUoofnMbPK0bwmxi18be1ELHkPmvmIdr/a0Rep2ri6I9ibTL9B7qmWJhnvoXwGgQpqRbTJRZ
tOS5COQ7ULRbeqbCqOQHqIaav7UDf2qjnFbEmw4Xp41WreLT0mGhiiPk70IuP0w87e2oJgxknM+a
MYuuHqTFX14wlawHbHf6MY0ZpXgrIDO2OvM8maG5SSCIkH525RUBWaZsj+lyGxP+2rfz1L0tXQBK
Ou56F0AxFmp05voK1AQdwc4M6rHCP3egJgRO3KTQgucE98G87OsWOMVoJvC9TkJzLGRHqKaUhISw
ULZV7zBH0OHhby17ALI097qhkS8u212yrPISwVxhb0sDlmMV+FwIDUmL929okhcaA5NrkdvQVtve
ITDO/s68Wzwo9qGVjh5oBG6HHyVYbc0jQkxxgzbKo72UXntpyCfPB/DSiPvlAmzTpnZ507NoQofH
FnLXtiv+e64YoXv4o++dCLBIU0uclyP4oEpzTo9FwZAU0sSzR9fHbLCE7YvoZXa7KImTPEym8c2N
Yn0DxCr5YY9QbzeVR+8LVmyPoqEpUrhQqGdAhWwBBnX0DJ/isv8U7YoxQPqtr3iVePk2zor2t2vF
MK0tPZDHYaNpboEzQ/JGYpi9XWdjvtlS2oVtgc1NrbDGtn5Aq1eRIFNksc0wLMLua3bxam/NxFZk
YSJnYC7JE+n2KvJhb5d8pwSBMigUu9IUkAVl53TJqS57eXBpJREnqulCEKqxE2MYLXw66dg5FFza
Q+Fi28BP8g1PVV2Jnq5lu+s6LGXLxOEUwvSCsrNWY6fptCtM2/5IsaaDRw0xhfWNlq9zADl347c5
odKkli8svFqEqUwB3ixiBxwC/AJsNLFz3/Squve5hby07Kf5dmc+H5+gIyN6mIlll1huxtuZbfOy
dSc3fg3tQZS7iebmb9EyV17zN6T30R+9AueVmtWPflKChEAhu1ueW688Ra5EJEAp8J85m/QNXOLs
jlybPDgKCMgUARnmbgijZFMQpUq2BbiMg9XW6U02R8HbnAmDbjwRX4AGvC1kyw7e1OkF0Dfb68W2
IfrgUCE9374OschfGszeO3sefjRcrp77ZnQvBKzkbsDefGq9UjzjOLG+4OxN2MNjOeDrrXEEUTgL
kDF1o+dSxMElqNPnmtavS1TPVCTRfd3CRsvyCxqQvY3dhmJyM1NOuuF9tyT7VCCos3a36X2agwzI
blSoaf0kFE7zMyUBeZhIcHmHMchhMrDjPFFgE5z7mNFhLMzyWSQUW0OhyciPDnVyD567uykbiAON
8dOPtNc/aA6hgHNAX4xSVqKBX6Y/o2HG2qpM/qgCUxFn9iDDjUlFOMTQr6MUiKjKsDqjiAe4gOw6
qW8Dj1QGyVgcHMqWk9pz8bBpBNDCPRdxw+FCrNc9D0naP2OqwCNm6eSW7IHe9x1WImjvGe20dW5t
Rec6R5cDaFvjYn32eLU8uCSpkVmNoQYvyZW/B9ba/VzszJBNdaDWcyIk57GOEmAEo3wSLswAewiR
5misCG5EPPpPjge6d+2lso+mc6jSU5O6mxdu4tdVtxLg0FyLWz8Lip/NHEY/hjnPH3t6Yb5x9jsB
b2VGiS2OY1Qmm8y24d9oq9l68VAVl3RyQW15Dj/ijV2ygNNdD2e4d+uZOmQv3FCt3lzypgJz7nYB
ViGns52f3LyFv+uzOHklIJfogwlVbd1Nnk6u3ThbdtSNRdHRSQIkugwSqjmHUdDVp37O/LfR4onE
5jM+Up8AkiEv7XsjE9lue6/D4ThYHA8+MNyjXxb9D7hR9YNmGwObMh7Sq4GEw7Wf5Dyr6LYZdEJn
vtF+a3AKgy54YIA17aYNx+Q9QSqL4TyPa8lknjjPIpvaN2KkzSXssnw/+Xq5U4MfjyD3XHfaea3m
J6p1ugBRL4PftQvaFsiBnO+sMaquwDuIowZwN2616dkCsmr8XBaFjZvlxPyzT3pIEwiT1p6t0viL
0F+mDjQ7D0SLkxCw70KaJ+/t4a+vEgEKeAbYrh/hGDw7WQ+oGNsvIM/acbFpVc1FmTIg31i+UOr0
WCQldYBF3N2EdHLyzEYuH0B3ZFdL9UK8teYG8KiDnRU2vh++sY7nDRI16EJbpDGsVYFUzmvmR+1N
aNerWlz7j2Pp48vx3eKGnt7iHfnTy7Z+2WF5mpfkSKvjijbhYnuHfgtAriv66UPhG5yvaqiCrFxC
e0QVraRNq3Qcz6ceHeIzKmJ9jCpBYqaiCB5zQRM0+He1Cu+qNl5ONm+uL8vu/K84jvSwH7Mcdvmw
CKV3fsnPeuONTiqPsg5B6IUdZix4Uu8LjsBHAf/TOYxzHfJuS8ZXOw+TxwCHAKUBw3JZUqf/cv58
+WoAmBu+8Rj4iB08QuvtfuF3624D4HnPIJmube7mmLrK0f+Z1CldFsZVCbQ3ZH02RzSV0UIrnXuV
B2YnQJQTzqaqhZ9z4YXDhvbNPD8NQ7acp7HtODQg4mSbYpDeu4htNi9D27OqFymZmZbY0Kdrtf3J
1Dq9rQddP6yBizdNJvt313rhqahy+3UkGLtsp3mKz6SKOhJ55MupuKj6+GyF7mKd86oVJwhFE0wK
Z7Y33pz0Hwn33GKDXjLcwOTERJ777EaBgXbZDVcCvHrayBOtZy04Y5bce5vqmUdvBsZL4Lxqmp3T
lLjYAYAvsHdgQcBRrDssBhklgiOpONg5IGMv9PAseBmcdbpxhgxOeJedlFeBpDKgHB5jPpkndgvV
Lxwr5cd6y6bvDCBBsRtcx3oSgx4uJfW8b/nUzmdA1ewwWl74W8+Jlm1jdx6/MgpGDCoarjusrzd1
GENyT0mvodkX9WrSL3RyIlYY38u65EvI8yZw19Lt7GGgxkP3ju/wuJQEpIvsYrEbx/hXDHCfFs+7
jpOJ3jzuleI586LwETrZsnfVIl1cIgO4s6wdGUjq0emuuhRg6s5fXHfexBSogJwh5TCCW7G4mibZ
+lJOS++k+44fDWO8KAEijJ7RVz1vpJ9p7kNQqSh8Ba1N2xCpcIjv7i4hnjVupAcRcaFaEuhV5+ML
0VkA0VSQV5nATLMmhU6s8cD+LhWVuMs04W5ljATDHgyJVlvgbOmZzsTua4pzOK065ySxqAN9aO1A
vJTeeqfo8QPsYM3OMMCUTY55sJ2b0u/B6AtyCGMedOdqmInNQEGcXlHSJXXQ1J6cLba2HzDLUlZq
/lKsS+tWnh28j/FbMEyIwmNgWGn9r5j13wsvy1U8+k8ReY1H/yP2vOav//3frn/qin+X/y24/Ofv
+kvBCtQfnoemgrJJL6OS6v+Flt0/ROh6ECZsgcCFTvufCpat/nBxuaF8Kf5XqFT8Es77Pvn3f7Pt
P7wAxSnkVyiKgiH3P1GwsNL9q36FsMYOxnco8qLSTq2//k9KtN95VhMAsd57JPDnar73o/zbVtVh
hDKC0+BhrPPvFt7dXx+o/3LXBETr73+yzyBne7YSPkK4/NN/909/cpx4zvoBHvZ+FOovyn0ENiYX
d43xRjs+S7FwX0xR4JxNkPKWmbpmKs7FmCx3mNmbbxdg1oS3iYoRkMFKvddqrmnscCXmrRTDMpEv
L8zIjczqQp4RJMQAkezgeJHcJpoC+MUfgysr7rFpdCF00mrmolLMMWBlX98TXyKJ5DifmWChPVAm
kIWOve0tzgQwVY/gu3iOY3i8lhTXfcJo7U46e3Qm1ribaRqdO7u2sGDjq7oLOkvDu50yc+eoDMOZ
4s8Dq9odJ8cvH2av3oNBvMmcrLvl4ORvEC42nKFJwJEADsVvNnNKsrpux09Y0u5LHxAx23aDHd8j
3usbj6mDeN/MFQLefblpJFOx7L1sQwFE/JoaO3z0vZG0y5I0u7igJ8RIrBZ16xI47pN3CjcZkQHG
W2vPt4PiMFrq3lhd/x3hMcTvRO9JzL21D39D8erkfja4vlmIixdi1rRnx4Tz/R2E5OSxqymv2VSA
xytO4zijkzcnDEU6PyHwJsy18bAu8oLUW4cg5d2Ulu69SJc02ct89i5sPQOmpE7cpB0dSUMzIQfG
8KzBKq2d3EsbEJlipGUspkLkWLvDdAONuz8QzWXO1aAks7RfrmEQNy8tjT7Dtm06Cwye49WvaK/d
TvYrFyLIDXnoQWEducTSQT1I3Lyk/G3GPLAbAeDAfm/Cnk3X4J58IdKGEV4sr1S4ihxNCoRSv5W4
Nwn4FGq+579j5pWmsr88K/CIpYFk3o9eH14S33S8yunxhlyv/QyIs9WfB4zyXICrOhuxPokaOVdI
bjAJWf5dDd33laEgWPZLBq2Yu21F8GjqyQz6SBY0lQbNfI5KUmvgyT2qpgeGj7biwksLsXiPRZ18
RawJP/nOpI8dtvv7IPe4arRzMVf71B2Sd3KLpCVTLEuQTCrGXZY06M1y4E9ZZGKfnCgnZAHLxP3A
wEg+bsn8aUsasog2KYgcAvyOjWiYUjgD45zsc73QF0Rott0ZW2KBy2ibLlEUxgl5MIAbmeFTehgj
O/yAOpy8sSQtFK98Xd+GBXe/nYJo9zr2QILpprKn/YAqy5jRdy+EObjey0r7P9uUSBQ2NCvfIQj6
3tYvMk05lt3aX1aX2k9cAsrXkTQ8arcTvFcoASNomCKydjg/xXPM5AVQipm52cNxL59qv3X3NEz5
hKrbmBtHhHEQEcSBT0NnhaKe2dcFJD1/AuAeJ6Ct94mQxL+TcdDbBJToZuyVOM3BMo5HWpf1I4Mt
o2cYi+J6Iddu07mNnwhYSQkjDHnOup+bmWnVzsl2gKlFshKiZpDh5lV/CqErgRHIKU9LSwCT7G8W
zJyEMjgPVcrXw0SBVttQnnKxyiK5SGQvYHMQmOmzwDn6kNbcNPiRehvQ6aW/gQHg7yPX16v0n+xc
okR7z/HKB5K3GTmADkhbg9/kHTWZywJs4Zl4l+t/cJjzE1VcQoHOB3blbV1FydqWSGJGtHNqmD8s
Rf8PYrQB3tZP/E0R4q4AeIG+4G8YWlubNnrc0lHkQR2wlvHO9L55LQBIQ6VxKeemYSuUzUnIUP6A
RT5SSzR4XrMXZH6xB88iu81COVwIPzUvap48Bn28wmofmcp9N8h/v7nTUKpRJgNHeoojhwutpHAb
A0yCDTtWXGLPZBMkzFXo9HfMbyK51AKYwt71QxKQhHuSY1c4fXg1WxTPkPsB3XMLhyP1d26bWT8N
QLpoO3Nd6jCNIKewhaEhzyCtHlyYS8XONEtcb3AVWe6WDw6lTW2dT/HGBbWfb2sjQnqI69nDaul1
/Ce255EB1mq40R0ecq4LyxUSBLAxqaJbPkn6Ixgt+xaoW/A6wAyjunXMr5dMcBCLzl9rBAkzATUY
5jfGUw69WKXmzu1zRfUw3covoOpgBM05KjsGD5drdeX7TxN7YEqNBHVKphF5wyMX6O95GJMH2gNA
PqZV1u8xJ5g7RcP1gS903BKnKd+qOtZXca64EGWgWAF7rY4pStOvS1mJrUV54XXAo7cn1UnrTp/d
DSZBVwgEsSZ2AfIXrL7izo2GzuwHdLhkm1Nqnm5l4wXiFMWzANIwqOiniGcUr8Hv8/mm9kF1wGwa
kzfhTIIftCrSjLTrBJaoAUwNeDCZ3x3s1c8cv81l0tI/xjjIf9CVZt/4MqasSBWy+FEOdAtsgHcF
/iYWPtiqMQvoPpMDzuhNhxmex9AS+sMMXn9xA2u8ixAJLyLovC9nZj+koKMAMB6cTxJaEasi4YPy
r4ujdFN4C6qmCWWji17/XtIxRu5pu8AjMmB58fpDkw+p2w5PuAWH88B+obhpxzH44Q1J8r3kUUmr
XtJyobKLXPGNy5IFUmE/TZJ2pckdW/AykXqf7cb/ydslffBtO2ELFjWlPW0kFDy6ZfoGHWfTdnir
RcQrf+uO0PPPRQCaHaWGkpgOMthugorCQ0AIl4QypUgyjO7qsX4bVzZepaNpl2R2zW2nm5MDgwGq
9dBbAUzKxPWf/MVJDE6e1XRbRm5Gbnaymh03w6NdRjOQ1sbi7oTV5rOVvXNdJSxXobuQ0d9GNc0t
rWX5N4Nr/wCb377kk+P+UrkESRMIPmb7UHa4km3JkLBxh6D/htmVoS4NAdXnLpfCR+H4cXQYxvUq
rICNd7tkGjKeTmeAdGaMo/nQ4MvCi6UyqC5qmKz6Grat+4bjjk8UNUoVgxAt5ltX8NrThWC9qRaM
2hte8PY3YXx2MRjl4/dUV0AfiTFN93A/qIYVczlCR6ZlbBNgVKY/firnq7RNrV9Rqlmsph6cz02u
ldg2Xt5/AD7kooaP3fqIIdT7W6ebs5+TQWekDpYAGR1Ylv1UqcZ1T/HYMJu49mJeTG64jMNadzq8
zHRRb/gIYJ6DLbuuWx3hPIqqWNQBlpwpNulStMB8nKo9974MfpcR28bJJRwe5sVOt4Q1nZ6rrId7
8I3Vjtp4FkDCjY4SNixEBjajWK2uEfyObUhJKahR2/qc7bj5IaD49dgZjWvJTRaSLI97RcUodbyb
LqKAfVga/rAmlvdDRilT7K/IQmcEo+XNuzKdyNyHHhSLGQzKQ9ZY1t7AgjnIThf4+iOXV+4YXSiu
XzsO4PXhJi0/w0Xab3wSnW8aJ9iu4+LnCSOrcAkGrW+yZDL0eGVF8LjYc1rvRR8mT9Zsl7dyMHz/
eChegYVyXBUOgP2jgg3/hlWye+50D3c1JaQ5kwiOOwrW5mb4DpkGP91kJIuHWrX66CGEdNuS2823
o3BTYn5Mkme3mQFc1p10bxGIYRRJiwqqWPIpZFVlqmQHwMZ8pxa8smZpyyezcKhADIiaYWeBkKRh
tlqD7FEPN+qEOjOhkufTfAWsmfrAtihH7gG8aQUmmRrKwOyA0oiqtrgrmebLHaLdKM6eLjSkOT99
avLWeqyhZOzpFSWGQuZdbUWrg71h77etw4wkrNcORmyKyreu8iICrzixS6MEJvHD55qyS2fj0LwD
FNXJ1+4APSKW1HZLLCBe6K1lo9AyIVnuzLcWG8SL3ZclwOtVMhlyEvLTMoHB77t1yRR7XfE2w7BB
yLKG5CsPYhzxbRAxFVUWteYb+tPXFbiR9atgC/VsOqF+SzI5JzPPU3MeUp5R2jm55sWOzn5mbh2L
A9dY796AjbM3jlUVIYsUYV+H8ch4GFbhrPkuYzHZQY5DNgKyLJGhAWE/aAX5eEvHWwiRMF0YsAeL
a07nanFB0mtB0Su4KIdZuwLujnYQ1YqvCtpWAEVBwZzT1NchyJUWDCTPj23gEca7q/uRETLpkeOv
0lIJGDZ4JleITn7uM09fOifGueHmxPo91+OaN05kHFKcNWejYkoPrDr77bNM0yz6MWhzS/ZAvFTX
tiJNY1pIklIud1OSvyQLdQLEIFlrOBgzOheISG1RxGrHiNiSxlgegPuUErb97Pcs6QuqjuuA8UPX
IzlRNmr5fpixDkZLmu2SAaltGo045KT4j1VrVw8Gj+SlnDW8fJupkZXfrFdWyYxSXZMI21szd5Fg
xoZLWYh/71ABcKjqAtBZbcMqN/sYkzsdJFq8iopgLgcs9Wil7t6qaBy2fSoRv32l9mGTzQevmu5Z
2k9mJ73BP9WQr89REFGGZxrJisCj92YX4qm+tnFlb9BvFR1iuqjuEoUMvYzaAOaOQjJtHN5fmI2P
rRLddzMnOZjykc3wWIU/qF1UV0EinXcyphC9eIFuA75BYBjI4/fuACykIeFHNnbUuXVZ4IAF28mh
6oNXctc8l9jhTrKNAEaYcLafnZLqNLwryNS4wE8BAuJLE7T5R4SNHVu7mK3vcQiq7sPJuQYxAKSj
PFQR4cCjznKjOEnltGPxEwvMgU3x22JvQjNwwmQ5JtAvWNXbgmmgmem9orUL5mGmwgfilCo72IrS
3sEzLAYS0TghjQOEl7hmMins8vWd2agmJYbYKA4qZSi82zEjdVfNn8dOz1/tR++7y0gkBIYcRHWL
D8Uo2D+dvJJrwoHSLzwvsu5c4BjB4FBcVNn+Rx8Y+4u6EUmjhQxzGpg6FSKXh1N4KlvTxVunShii
DRafLxU7xS5FybnuCNPdzdm0BFsBt4NklQ1NRpe0v1Fx06bo8S6bqsFxHt1ejOU+VoIjMVK+wbK3
xDOADohOG1ges3dM04jL+drBDCVglOJm0E0DoGVV1HuV6PlQWxN1ADNLouP/6qP/LX3UFQ6+6v9a
HwUQ8/Mz+Vn8n4v++furS/6F7/jXb/6HTBr+IYQit8ulzlXcJVEi/8F29P5AGuVIFiSF7b+Cwv+I
AzvO6gEE8Rv4gZJSAnD8vzKpI/7gWfRXio+NXrr+0v8gDizXYPG/CKVi1Vxt4WEbhGMt3dUI+E9y
pQwKPErcyI7Yv6odJocZfmBI/Kqx5vbT7R29z0QSvhroMUffAj9QulEPBSmDh+e38rdg/XfKRwZF
Mrn3QxmWRxf67QfdfhTtLH4DJ73P28+2h9gQdm23Lcwc39HAND2qMLEO9cBDSq6KiwRT2Hycki54
hJCQGgSIxmXHV5cumpufHEjrHeZwuMWtVUCnJyA/GL+HFxPTlcVSebYh+KRNSDM5xZBNGA/vtMKF
v3PLH3BkJHN01FY0HHi2yQ8VWTH9jjEifNA5PlxhaJQ7z5/640L/6gnnPZFXKapjN7UDXrqCPpJU
3aOxmP2Mq+GEXGbvWiQV3lquOKVDt1yMT797mBEF2pQkFikzqbJls/AAv4xUWX4xNvu3vbCcq1YN
z0snQpbgnbo4QetCtvNIRUu/jsDMpXD4N9yumGmiBIwVy2KENMWssMWukr93IDCuHDX1V1UuP3VU
UiWepylLOZra0kB1TwVgHujYHRUq0SJQB/Ig/YX6Zr3JKFbXbQpvJgZh/atBTIy5G3kc4rxIb8tZ
je81EZxbfuB8nR5R3KilFcMT7p3x6M7aQQarKZ0rin0k1Pfk5jgj/YR1ajGO5VWbrxmUwvk0pYEa
uBQwr8iGRKz7fJdvlFU9AbHIDgUNErSNDuKd9ims9z6ms5DalR2cPPvWSZLuRBwIqc0J+dJjVA1i
l95mHL2xYZRysmvPil6VpiHVS+mBIw2DoNmhJfVL4vyY5oatqVSsZd2gvE+LFWypVWI4RnsGHAkf
Kog6SggCiWzm633pJV+SbwnqX9V4dzaEvDO5ZLTmSNw0vShvTL2Ev73GjV8m5PyBk798nSdZXKkk
8p8NDeyI3FPY3qjRwrjSCPnQtY6ogHRbdB3WLk1Irh6a353b3YcujeX2EDcH3H/ybnFoec2MP90l
UzFA55R8alF5ipciCGW7m8h5HKyS71mYwSixmLw+Fi+pry2lmsehbIJrAOzqMJt1uJqy3627ls92
+tjMQfCaN/DDc/BwG21B/9NztjNenhzp/6lebAV1JeGr67cellY208ZmgE2y+I5ChfjiLLa72m+p
vJrthRaCymhx7BzD0BKJeTtQkbANiIB9qiWH1hZ6Vntiqe8eNCl42qTyyzLUn509XVFFye1cMAOJ
3lqxmbflSEeiaplPMX08J621w9Mrz021hptlAsLrn87qy19plX+O6qxA3b+feoDROadZ1KyY3L+t
h+hCD2BXcxykmmvMZgQeBo29qbjKJKpqbiY6gbemhBXQVe8F7TEJFkGt79zF5vJH5/Jw3S8j8UmU
uF2VVMV1OK794dyM8hvCidU7jkINmcmkzh5eIpiZvteUsfKSzh/DP5/n/M9n20mIT50rngv/3K3n
gvFm8ARmBDC4H1wr//j/f+mB+/cFFeEhtnOEJ3B4+7x8/nbiz1bvwtqJxdH24qew4FZf5s6TpaYP
/OrZxq6xTXnYZm4CPQT4PfgZU7Y+NXwadEMnFyq/tvfekqCgMlsTwZSe2emsGL9oVIufk3Kaz0Fr
Ti57rdZZWuaqQX8oHAY1nP0jwIcrWUi1zfP0s20nNjKLXV4m6irPeN8BdLI/v8JGnFxJmOMAvvOR
Xh2dO+dq1I6PT1T0tAtip44MdeKjDyXIC6fyMgQm/CChV33Mo4Cf5sOnlcT17/AdtndYRZJDYuzy
WPcmeCctGp390uEWvvqE+EeIecuQvmc2fEuuCTCXwl7tl9L3jmZolmPtG+eG6+V8jtHLCeACOTvE
vYyfZtJk3GCXGBJll5itgwpzyN3QPq6GvEPOS3ZfOOAIeAcN6V53kX7tpbc24oTNK9sxBNOicr99
Eca7tM/za6oHsKg2XnbdeEXsb3Gdeq9W78l7xAjryenwWLB7j3m3YAT8ajHZvfpW7b96QV1dkqjV
F9iA45VYSrYctpvcRK3QJzm655JisH5MVuyU7imF6KYeCcKeHqQx5mEyZX5HNdYAowfVnA4XPOTI
BJSpzq1+GiSJTeZmAvm1LX+52IO4S7s1eMbiJekzgza+eFCR+w5PRikac7s4kkZDBAiqn7vpuoqV
f1NSvndQfpHeBN6McUUHyjloGyciNTL4QoUem5sAcM59Z5nmwQ9M0B6J6s6M636x81wHWLEGXBCO
S35Beq1v/Wnpd0kHSK2MneYKLxHteespUrT42g1caZ9ul7q6h9z6VLAcaQ2uDSueb6fOtzC9BQRI
eU1sZ46qbj2zYp/TK1rPMSe2E3jvlvWt1hNuXM+6QpNcNFoS0KczvcKoc2S1ycGI+49DkpPCpZyU
k1OvZ6jSCedMkcqFgyBB5pLreQuSqnqZ1jNYS3e6qkzNmdtIaqK4PKIWwTe+Xuy6fYToU18vwh4+
PAPUrV4Jx7lFUqD888WQre+IYH1b2IVNqVq+vkNaQlLWKcDfm277P19BImy414fW3JtdbrfB8yxq
775rCjfCbMp7LdWJA6+ttnPviDyhr6yxaQ7d+p4c2GLssj/foFUTq18GuzqvCj7TDu+ptLmm9QD5
q6GO+FRHJIojugrTnf7zlQ5LhR8syh5yq5eONJm3AUVoHT8irpJMDfM6QIAA+17WkUL9OVzkRA0w
aAbeLlnnDsH4GIUJWNly3ZRi+mQvYg3TNRYfms1DazpHLIs3tGuUx4bRZzeqMjtnwwDLcVBY2ewx
dLcV5lB2VkWe33qyy85OX0OSgWDyloAtvus79NZqtqNyo/GrHyQc6a92aeRlKoz3iVlnvKTdnL5Y
Q9Y/Rezuul0shtVemlgYC2hr3ZXAgu99OzRIo1ik7nzLGU4AfvNbZrqZTQq2lzWvLz2Uhya5atC0
73pQh1CWTaB/TXp8Fz5GqVBZ87o3EB4FvcomDTAmz0HMF55xazjjsWTPlmT+uC7ekVybDgcmSQ/r
4i04bdlP0CeR1f6FqLK3ZfvA56NM62cstTiia3SFs2OlWY9gSY5zk4wq48XbDNsinFjY+9ye9z6N
zXR5p+IXq/vh06mr1a24EJJkII2dgzEkxDe+H7PEiCm+fkPtA+GZ8R3fEvJMrwK/ya+NVtZVCGf8
RCcyMNPA8v+MD5POQ6B4SGNL/LAndVmw8z87BQyIqbaQYWiUuMJ73FE64Sr/IZll/pE5rIsBm3jo
d7rsf8UeDb7N0Hd7EbjFPqxzbKE+heqkvsnUSG/fg1W+lk3Ih98K+oJXuUgfrHbtAHIKrtnUPALa
MGDpLilfRgThY+uxxqZBDGE0W8i6WNZEsRRoUM5EB0KxyOqDSvuW9aIU73WXu1fj3A23VCmwYGVD
tTegF/jNMOgCmdCpYtZmNpwq015zB9gUoX+FDf27NOEv2HjwL8g9cEGK6uocaE/xtBuG8ipr40ca
/+YjJw+DdZSL14xCYB/k4KvtNvLdbe3hNA5F82Y8L3uLENa+cp73XUhU/jT2y0cVilcHkC5wmMzz
z55b35LBuc9CSMAwZ7Eh0Mi8p+0NR2pUJHCWxcjyaDuEtS+udeM2Z+X3vHej3LsKncI5LX2T7W1N
Gia1+JxiaZHXaNM4vBM/+pQaUFDsq8xQab2O9UuFUGymAbdh4v5mkR8dcXdZB9+e5U2qy/S6meG1
XA+VVT9SWCKfE+4v0zatp/6LDTbjopN36qZqSWIQBHCyJ5qoyHAshv6nDFraASN4c9S14zEaN6Bg
rAjC/A4Dic//lbr5Ih1hDgaNvpJpVfL8dHztbPnPZlDZNbvkfss6okHbzizYOlxH7nOfNEGlcSiY
sOiOTQSFTrKWoKQkn89TGMpjiuq7YU8XvJdMgikelDmEQVkh9OF1Pzj2EHyQA7GPcgTOR4YiH9iL
zzy1ehY+11BwOZum7ihP6n6EECGXQHyv+sV+tCP7Zz9awX3YwjUNmmeWXGShZNJ3jzLWM4bDNF1+
Z+wCN06iXsu+YqgeeLcvsrJ3BqUQW0oL8y5xpqMYgMdSMiBeCWO1HhYdjuJWj5ojiY7g2JWgR4Ko
JKFGftaiJkb1z8gTy7MPGuA/2DuP5cixLcv+UCMN6uICU1dwOjUZQRETGCOChNYaX18LzHz1SGSS
7OdWPSiznqaAgwCuOmfvtYt1rNKAxI1+RoEe5GrO33yVwPSlX41sQ3nNbjCBFrewyWkjo+PLXJSt
yq1gqb7Cf9S/mPFPD+Zq1hcIm3R/Cizii0fyFcAirgIlO0/JtjXV0tpUNVjIVZZELoofhOkDUgBB
526Tit8jeu1o5wBowV8ykuXVO1LbFJ131vTRdMGG8LTR4RCp7YMd/8gntLj+WjcbDY+aHr1Ewr+I
4zSj3VKo11J45SPfF4uXNTaX/QRCNQmy4kHt0PGuwoQqBEljCrGMjGgQznX/3YJx/+ipsbi3Iovu
O6r8k1pRowMrQXBmIcBY23QTcTsmKf6+mk1F5J80s+bbkeGslWqD6zAqrJuRluUPtLETygI/Pakm
WlfIT8y1zEAkEUdPZBHrqRweyA6y1kWWa8YaVkKw902RniTog7cmIW/0aJzhVkcR4AoFJ9asZtlh
qY/2JtQGOJDsZAFtjtsu1IY9e0iV8nyOFhtjoupdCUDGJ3Rqh52ftOY2Jrr9exWy8+tQWSG2aKHJ
m5Wz95MkwIkT0omghNruuAd9U/p4hLqiiR7KbqTv2wy+jwQ1vfHBf0AqzkEyIhwa6GkHpUtN+zsQ
8+IAC6J1Y69gQxYTSNnKiDO/aZnfnCqrt1Nb5IeIOQMZ+JgUWxHmUl83idLTgK1jRmCcqUzYUN66
GYYVrbiVfN04Kf9H16BbHb3MuBszwPBwRYg39zNjH8TMEJ6RonlpgJwoQLT2mU7/tCHAaYWihwyJ
KGc2Q9rfr/1Y4OOIvVNd88A+a9kqc4KfgsJMFKsnPhwCLfAwrXqAnenobvGRPGDNM9eBhBuQiGk8
UOFDPlQ5N5zL17R7e55tOiAiULz0PJhDqdO+kxvqBNM2HAQ2Nz2UnM3tOMGhKiSPwNNO+irX4MR1
NCHgkr8EQMVx+mEnt41RWZOXpAEA9XC5ZcS5/taTPH6E5lwlcAx078ZUOuecUL/kirNKc0o3uT1R
R4vKkrBqRPoE6q2JUCBmwppThYsEpeHc2xOyiPYF5OM9ptHENbuqPMuMrN7XIaFRkCQJOJRYOU1n
2k0y0lxGmPG94bh21Sgki2WdrLZhSu0jcNSVhgRv1UTxaa4LIOH70eZ5tvQpgOSsozKwb/Sscwg2
kNEdbBbzpIyT5EyGNYAVhuCJ15PBalh9+4VYU/+nozCmi1mLqjq66ixczn2U6R4UfduFwFpvhTkX
6XHEhKtSEGMClJvzr0FkM+CUjFZ5FeOI2gRBoRBzGI8/LUkXeJuYItiOUPbAnM31Smo6AA9bR201
JA6TqZDXMVc4Vaul2WsPFAjH3KJ7JnITyDMnRGX9/6Rq/7/JfG+IOd/ok3r8UzUuY5b+/H/+KsNL
iu1SVaUUGhOJPVdF/irDm3+gtUXgqPETtJNmFMe/yvDqH7ZDhf1PQ71pSMAaf6mVdfmHZTggNdD6
siLyb/6DKryQS7kyjAhEtgjXDGov7Lvw/L+twsca3qQ4Jj46msWp0EoA6uJeTCFiR9GDbzXtI5qw
5CSz+PBWbAmg8cJy3apx2e2rTndOoqJqbh0cSNkG96Zzl7c23b8+kxfTpJrfQ6q2572uGicjRtOf
eagYRDn7A2r8yt9bZGCQrQx6bERj2Ji/42HSicAs2+bCSlT9G/hJNCohsDyiaQv9vGJK+aYT5oSc
UcWLi0ryijJnvGmBblImtFIium1/ZbF3uwMSWB8qLD93ahEgcYvSXTii27EVp1tnaelsAYnZbE4b
5ICSTbqIbZ0aiqGd5IlNm88XmBExifgkJhuZG9Yhq8WAyMMo23jLljq9pXsg6TRHzUULcIUWKgTL
QBSrMbTUM+TXxVxNVg7sgMydSIPuwqQUssMiGN92jdqc540/bSNpZRelbtagjsAKyxqYcpIFEMAa
ZjG0CsgdWnHh0UYF1jlATBpa51GrTIM1OOsOoJQI/dPL+DJJjGovZo0VTuFZC9NMT06Kb8Zg6d/h
LGk3nCyxMcJ73npVIw6Vqerfvbh4AahTiE3WcEpYQ1fvH1UW1bum8/sHUNj1N7aJ3rM2sa6tMJKw
GaOXjwVuVOnqn4CVS6n+G4H6mDrIclYmdKsCpY8cflC/6c1djJ3rKrPZMAGjH04d2Hrbig7QuDFp
KYebvHWcDdS90VzzjSg2K2hS0g1qiV+yuzZ90dAl7r1OI75SzTXsKHWenRmpqWy9QZS3ych7MctU
XdchOcYDSXJTwPKkDJZxjr6IiAcla+7ppUOjtJ32Hnh9eIc5kKwONB1ADIrTqOv1F4XMyVVKmiDM
grZs8XL7IzUqPfodBPYPwZHtvKgmUqcGySqdsPNv+2zegkS5ps2YuzaemRTivOva6CbIbQ39Sz0e
BvzLl2nhuLkSg2zLqLj00u/OulLPnqq6JZ9QN/u9TzjNWUUDAYgDrHt/8PY5nD1oBJNhXc9mxMu+
6cfdaFlkXqD6fwyMyrK38dQpDxyBwzu/SOKTLO77H6ljqcgqIYAFHOU2eW3bp71R1pvQoRBjietw
0MoboxvStdMm3VNklOWdGAzKQnlrPBZ0Z07YAqC8GQ1PamzCQuPcTI0w2PCfFhd+LRxrZRqmf4pz
iRRWWRWXYgjrq9Auinuw7ZyVglRtaekD2cQ4VMS7CCG716kjGSxAZW98JYUFHjM7XOqGGPYNkEzu
VwXdCuJU6++wwMoDqodxIyGinXuyAaXZRPplSOL8eZGhPsOaWB1qln7kaKQhhGuKGBb6Tp+QYS8h
Zhz0pfZss9d+bnFjn7MsD9WmT0uMYEInyrvDLgcPta6rYU2dq/9OQSpj34gLJVlnoo3lBjUC8go8
npzTjQi2mQEud8MZT5zrGcfuPDHUXQt7NAMV2ahiU8DitNdZFBRbbPxdyH5FsS8A+JfkTjMVP0oT
6R3Sc2vMNrGY6X3oimA3dBR8GrQzqPkOdJiCM1La8geDQA1qhJHfXg9Kl/2u02lWjJN88cOsxCBW
WVEHjwPCZMyVRoxejPwK2cWrREeEMGYmB5dAMezvkF7Ipiq1/qGknpodQgfLBCKcHGFxr4rMZTuJ
L6N10Nn5+YAsqBGFfCDkK0VMgnjnSi1a+9zIx3nShnvCxDhkCfDYhgiyVife0rV1FftGpjvKo0VL
ScdIPFDIgE8MkRJ4dUrXMtRRshmqUl70CXux7TA0xrD1dQ1zIMXXqHIJyItJ9tFFfhsi029WvT3B
2wVNSXgXTlX8lC3NP6Lghd7cFoGqnMpqSnc0pJpqi3uMpO6oTMdb1ccMsoam2D7Sd0HVDnCXINe+
7c1wGyO+XMetAqpBrQX7ajgUEVIoQ2BeQzh/QPhmnWhaQ3evpu72UlFDusfcWLto18aEU57g0IbX
L7kJY+ndt71TnyeO+VKOSvUkQufGRPCdryZCpuWKDo+1w2XvHFrRDj/oeJJNb7ad9QN1TG2vfYwd
JyplLU5QMkFkCxThxovRTF75ZK9AHjFTDaCArPqdEzn8AZUMGjdOnAabgRytHkd1Gn2HYznM8VL+
HVVBSHptAnqgoC3Tr3oEVc/4iNCaOP3QEOsRqNsg6AVC6K6GJWPSuls1aStOSFtg3FcMhAf6ARbR
ZHgHce3qyqzt5APMA/zU7uR5nUs4lPa9JWbgnF4fqLWY02m4zQCvPgjZcc8SFtgBE4qZQQJGW7Ji
k14fKLyW97YVpeZJSAB5sfYkQczkDCGenWML0H1mvDgSBtm8K2rNDVJ4S36XSodlcig5fWcKdhBM
n1pyH2VJe8ocqj2pWjPec5KwT+hwIGD15BQx9+LGWKOaQTvDx90+Ovz/1+R5eQ4+dqd3pRDKI7rA
4VQfbdyFWcOiR2o1fvzMufMJ8PuuFk5yjZTQrzf9QJZ50BjpuZFkHsAUkInPTLrNZeThgQC4EDR3
XWeORP+FRv5DifPihOhbnFilURi3AgMEfYMiVn5mJS06jqtqNZuVZoW77tlsFZy2SZ5CTuuFq3Qd
WBRAx4SCRGFOS4tWucrxr0LunKnZswxwD9xrvQcwohp7eUOHJ/B3sh95kl00tasGR/+VE2jghBsy
ilGN+aI/9ZqUxn8UBdd9E1BHrO0eji78Sk75yU/e1RAB5LGLu76moEHhhvUd5exNXAVKscLbBCvG
LzUGCHb6/FqRMcdbvVTUuyKiNbeGSyyJ70FVh45cSn/fhJzvz6SvV+M2RhfabNCENZdYd/n1ngMn
evU48B48i1YeUT8IjsKEpwpzu7hr68G6bvrQAU4d8t4jzu5X8Bun82lQmVFV26xvWi0pbnrbo9/S
qPCWrEqjzNP7YXoSkqt7BmvCmGXbBXOEJ0YJ+bPVdhqi8QKjVhxuo0lt2NFqAECB0UTU1YXHQcvO
dDAHMr9TSgePiGbV6oVVDTwRSvslFLiBJ0RBL9xrg28/xSFiBDyx3JbvRA2AjaHn+QZjsJGm9H/Z
7Gf3VtI6d6Ea0tvCkMLk1+gX8WRE58ko0IgrIpk4o0Ziz0pbkKZjUUxfpZE6SjeHRUs8ymCfDkhm
SInRZUPBLQzqH6BJkLSSsWG8kB+TPpN6ZhyEp/g/p0Yfx7VfT86ZPhgo/Az1ZJwwPP9/k+vz/5WI
C00VJ/qPD41nT3EdPP3un5+Ld/qtP/+/vw6OMNd00FaOtOZchlcz618HRx1ll6ZaqknMmeG8Hin/
OjjiZZUqID4OhlQPIIJyG38dHO0/dJwKnPZozHEcoKP7n5wcF0IGHDtE2WCkVTWLfF6ITaQRvz04
irz38HziHrL69OCkMA+Jwjvz0+oHuYj9ypQqG8yZRlq1rkfcPZUd9Q6linqW192D0UePbVExcqZZ
d9W1+6ZsriI/o2BlAUnJWyXc4C80yXNMHhqbarfqxA/EvW+cbjzAQtUpbsBVwmu41vvo8s3b+AeZ
xntt2usfZxtINFTDNsADm4s/LiIasplGEOtDGm2ASHJ4ecmq4goQ2Z8Vkw9tu8tfMufjP8ZdmEuU
AEwHb/Tbx+griJ07tAbAifLVHKESZcrZ2OQbrfC/0p4sz/ooOQjeoAhhGXMtYo50fvtboxX2qdKj
ccms7pf0YG7j97xvRqqQlaMB9859zPZdvKEWXmwwgdRr1TIx5/oltCo6FXsKpK4Zykf+q2/ke55D
dJo2QlQPvtKfElz2RD6MKQqya6z8Z4Vbg/C8ACh1Vp6Npk9ME9q6nWeoB7QR9QnQpHrddPGwNdWw
3wTe+GR102NZhjg5JF6CGDfE5y9Wm9/cvyGy6E5MFIw4xCmuCEtQQ3n/DDwhg240wK3ktu0GVIq1
dIDiHDS7Iqc5lD8UqfWk4MvQAxos8x4F+NNvsMrPn9/I6w+9vxECVQxgJVjSdRu62vsbGQPAfqlP
AS9paEPjsAJ/rcgH26+rzaAlv5I2PjUj2kJJclq107dcjJg7I+kaBeCK1NGvjba6nTtyHH5d05dP
U+T/SEeN3Gpx88XNzmTftzcrLazsjAPdmutYTCHvb5ZIXTpIHMy2qjpRo31Fm/XfzE69LRXrvGjC
b3Wbn0SOtZ8Gyw1L9Y7TPeJjE+3jEGyqCbEMkF5JrZZ8y4BUNRRrRWV+UVb929vlPh2s77QQGEpI
XxfqKuGXEuuQVIihSG4Lm6y8PsV4UfbDZU9QEsA/1JER3gzTYrMcV9OPrpxuId1tZ0Pi5w9tfiaL
Z/b2XuwFLZk+upYkMvE2HoTkoVBXgGRWROZSPNHd+sufe52Tlr9HMRFxGW9K6kt1FRG7nBGQ622M
hnYq0j5Kvk21gT3PV2Hean6i72zCkDddDoQLrXx4hbnxBFvWDyhDtBciBIl+D1kyc7IHr8UjSg5N
GtXfJgLzThHDJWvSMQaEKeG1w5keRpKzUozpzG5qcw92B782MH42mnDq9Fzb4i4/hRxKdxAf8NY0
y7OkVPwdSYKYR0iW3OPqHbcka0z0UfBi4Sc1OCpPV5+/iPdTLLuouY6qq5bFWqVJxLnvP17sW2Qw
NryIaTK3k+nvouJiiOxNnJ5//kP634eJVGfDAhtMfsgQi2VDTMiSM48xbUSSQ2n8nAkwm6ZNgtA0
w4GJELuPhv7WLKeTph1vjFF/9Oy0Rjnq/ag8igWi/g2Af5WpMVY5/RvSvfPZ+Pj5fZp//zTf3+fc
nXgjvZ7ZP76Ox4i2sYUVot/R4qU4E6UPgJVUYlU6DjVFF1IvgJyYDNl5NYB+sovywQc2jvpoIjTI
rBXO7KWxN4gsO6/qKt1EZJTt6WB4rl9a5mGyqviOM3a+LsrmosuRbJpFC6WzoSKl6AXiasIF1pba
jeAMCSPyShO0Sz82K4UYvy267tbNzPx+aKInL5gF3UU//hhFe6dPtrWZbVAv8NOILQUhuPPa0j+l
WjvtyAy5+/yZ/f0jYrdDy5itFQB0VpD3jyxuHLYbRuZsfOGhSyVaselApkrXK/Td5z+1QEzPH+zr
ngNwgo4+XyyDsoZILdvayImR1yfj0LbTPeJa47TAYn2HjJAwlZIKWDae1/4LBEpcZ7jKyT5gge2b
nHisUbN4KViiNGf84ubeE71f743CB6MW+AqjabntS6JOSwU6WvADyWHkaCmU06n8/sUTWO5UZvcB
YWE6qmxNavrc/nj7gVZ6jMkY4/M2okhqD3LYjwI8rCeQyIdBvkHwctP7RfGUlOJ71I/XgvzxSAUr
K82s3ZYTqdFlFWZU0ocr2tnBWaI0tNE8aX6xofinO7Vsk0WRz2KGyLy/0yYyvGQQZFzZVs6sEqa7
LiLRJ0C06hP8sLICuVNV79RGC/b5Q5pbhO/me5TuumVTLBOsymI52aAxa6bcz0nXKuSd10ummGqd
OvnGyPQbanC4issvflL7p9+0oIpbpsMKC+fs/V/rQFoFEStoc5Sem+oAQxHgDYfCBCOvh2zt0/ZX
EHffy8B8ikLrSYd1sfaUn00V+utAyfML8pNfImmcaLlch9G3zx+J+bcJ2Ia8YztscGenCqPo/f0N
SqmhU2iUDQ3cTUgF0RPezosYLpRRCaKJJ9wbfESYclFkBId2sn7UeUUOueU9VqjtCLoyb/S+e4mC
YJcO6s7v4AITbDD7K1yA7ixVOUf9Iv8F18emxujvOuh9J+RsuBPUhwP1jnKVIs4bh7bcxQKaaKp+
g+D4qNVzKjggICJcTPzF286o4i/ekFzqy3HtWBxbYI7NmG4qSe+fQBYig7G1QG6ohn/TU3E92TlB
xp2CyHxI0NdRGK1FcF4MRJBrHv8kJ3m7GkmLJh/spqn6G7OKWAwUdNJhbK4HnYjlBoCOTaVJopnb
pE6Nkdqozvy6aeZwFFKFewjavQVvN42p6pj9JvQ84p3yDGSefdsZNKv08FwjWy5O0A/SLesiqt69
ih5xaqffAVCGTauXF1UbbjpuVFNTelnD2RBFZ3ESY2svCehsmo1iGKBOst5tGuucTopbcgbZDk4M
DjKzpp0JIXA7GOU2V1RtpfYajZl02IxaPOwCs14bA2gH/hUqieJXX/mXefIgCQQLm+fPP8a/LbK2
wXaZocnRDp/VcmZorcyDKGqwH9PXJcBOue/yfYkQMv9rp/k/Dcb/39R1nyeYN4/775Sw5+opeXpX
O/nzf/nvprvh0G7FX2ZTQYMI+qbpjivZtomlmFfX1876v2onOrUTGB4Os5UtOUiwfft37QSsGLM7
axHIVg6P/0nthM+AUfhu7mb5ZF1XdbbrEK+sxQbMaSOljwEzbxHQgOsiHZ6wX0TpazSQ7Rmx4wAc
1FY/tYwp36spmSdUWONkbadOgYJHae7Nno37KkPx9WAVKDmwe2b5SeJpxAc6dmxLHDRNtkOial+q
AXPCSWdZfXhWiTL/ZU7zYShDpHhoEYfAMsjDttv5pkfdlWwzK942+IGRUYUFYWwR0oVNkCb+b6xJ
IkU4ZIMetI0I5mODQ6Vcjd0wZET7xPI7fT3gozQ3hzMxsfBNdVm1eJRU6x7MrH7vSWKy6kDpL3H8
sEp2M+jKylT/0Gm2RZJPHNSE3lERPehaPF3UWZ+RK6eoaN07E97+QYejoG77CsnzwRoD/VbNQIns
4tgB4FiOE+G2sa/RHOqFKjOSNwlxuwwkDdatCCagurj6kKTWyPD7S6tLZX3GgtfU1NuRL62LPKZL
g5JuIMcJMz3JtlFavHCGzM90ylKofcOxIsA6UgVOPEw0a+otECbMPhoBEOD7QMirkxMIcyBpEKVx
Ttr0Dr4j9FNF/CtGK1ecjFqbzBuZmB8w0aw+zMzzy1jxnD1vxvwGUKPbk0k4XgC0ca5Yk+h/hXDf
h21dq/l33TCoG0xROniuBRPxUFSDCru/qwbUDrG8hlVl/cLca4TbFgEQ9sl24NHYvs3xsI+sZNuK
Wr8v27C9xx5vYluhQ2QjxuBstzalLE+jtMUvF6QlNXa7RFBbwKnoT8yhCUaatz74klf7sHi1Erez
q5guTr7nHB5e16+mYxKZrV/4q5nny2AmqMWO3l9g2QlgCeBa9lvNejZfrczeJPBhQSrC4lx7k3Ni
dkrE2vJqgsZho/Hf4YwuZYtJmoR5I173k5OC+H81UvevpmqCwTFYj69m6/bVeN12tD9LdFBQSmdn
dm1PQ7wxXw3b5at5Wy2q9sXSZks3vuwMiPmr1ZuuDAcWfXaAe69mcNXIvOt0dojrr2ZxwFOMwf7V
RA7pD0O5r+MtLwFW/m5fDeegnNQ1J8IW5msSQQZCTR7YBKAZTXrrOKG9qWFwINfuEnZT+gpIQnRX
TM5FAnlyi0KmlzQlLac4VfXS4XO09smIA3avEjB/R2CE6hLxOW1laE5nvlMngGOwv5cDKeKs3r3s
z0nNaLRrrQrzu6pHm93Vxl4TXd+uHQMx9cF00uzWD6Jtk9Rj55JUWU84dfhSyjgS52prh7QCCbbu
+QH8ZJQwlLD4adB+PtM7nA1rWqtpe1Cgz493wrRpYJQjNigEC+NgxbuuVQkSJ9QywmaQRnH401PK
4KZvM+tnDOAcFbffEDzbI6qdLsM40ca1xpBpdw6VRHUDu2GgmY0lyrBPLKwA06Xhw1Y4VwgfvWvG
RkJeMxqKtO0AMQNNZkDDG7npyDRP2ntgA9KLCYwk1bF8IkAOtrQdQfOON2S1lSvQcAb4mJazgxD8
tav/IwiCV9uixfuVDsVVrXeNqxUoF15XrP/pZft/a57NL+zTTTXePPthnr1bqeey3ce9kZPsd/h+
ZZ//+z/XdUf+QXIVB2OxjLi27D9QsWmEXwsyY5CTsfH9l5hO/kHV0kKJwkjh8DrvLP5a160/JF0U
WihSpzJuoZz/T9b1edX+96pOronJ+ZgEncWpqAZflcchxc9A2zjisu7+DD76sEfw0XWXuwQ97Kwa
LMq2EQGd7mkax3vCZob/KL/p37fNU357yMYKA0FyyOQWb2RV3ZBKrKI3Hab85c3ru/rzAbz1vFof
PBb9/fWddIpthMwWnClRT9dzbKAKKTAS2ko11RT/mlHiY/z8xz56VotzT827j3o/gykM1p5etmpQ
DclHy/7KxfrBH7Oo/0inVIvIGQHwaIV5rmm9CWxIhRN3NtrIXlxFUuxapWNZ3Bz1By2NwoWtFp2c
f7BLHDkccsB7rMqIK8Lt5z/wvoLx36/fXpyV7XACetUaAhN6LXt2UgYY1yKu9eAMX2Ckn2vtHGld
1mU2yhXiaCIaif/uqv3nv6+93wz/+wbmA9SbKmQhkdSLehTb1vehrlHWd6Whkc9slEhNS7/vKGOP
UjnLe4iv21YnAxMBiG/r6RdBfB98NLPQ9+0dJD6AsUT0PALqCmujyl+k6MMv/r6PLr6YFQivQi0/
NmKLwls+qPkIuBBB4Bedyo+uPv/zNw8vweKIjr4SW+B+4bOa1/lZpoQYqD9/OR9dfjE35EovijIQ
gu6U7O60vjQRbkzyuJnHXswMVdJHRaGX+OOwaeD4R8/GBqnIqQkdd/uL2UAffKgCScRsAMc2Ws9S
SURxEM+dzec/8MHcNnf73z7+1Ol6EbW+dNOkLr0bmaZle2eU5Lsc4Bk78nr0c8M6+fzHPnoZi7lH
B2CaweQgByEfpXVVhzWiorRplJejrr/smtUIwVSETLY75Vq6HX1TqWh9xgSvfX79+Yv/h/VxGZmI
L9IkMADmQa5w9tj1lVZ0W1gs9PnLMDCdI39mMZ8YZu7ZyAEklSGct3saAZm6hdaaDNsibPrhuHEt
F5NGmXelZwyp7RZ6PH2LqzG4BKLgfDvuWS1mjR4CmoYI03F1ZMjbpK6kceab7FPvY8ruwxeP6oMv
6hUl/mb2CGy/oERQ2G6VmKg+00m9dHwN787nf8RHlzfej47cIz6Dh2O5rSxRURNMYj5aU158sXJ9
dPnF9NF2Mqd9YFlul/AGmsSnudgqsjjy7heTR4vSH5BzZLtmPevAktEeFAjSYzgd+QOL8RwDKi2d
gafvYEfPTgpNZP2WVISpvzrq+c/kp7ezk9RHo9bQvbs0HMM7HK311RCSm3bc/VuLgSbHCoOKKqRb
GGYT7pvJGGbxZNqrxw2xGUL19v4HDIYWdGHpxrVf4HJM9Q6XRkvu7xc/ME/T/zAjWYtRNvqRr6Y9
r7j0xqLaENQl5VWqTJ118BsvJTzH10f4Kwihf2Ch6rMvZvKP9jzLwh+OLk/mU89UmNhJcQiU2pPs
7Ml3Cbd200cmQIcmmmgtBlaR7nDD+HJjmb2R35IXYn2VZvvBCLIWA3T0LEXa1JrcVOKdNsJeurZM
jC++j1cNyz89Xv39+xNdM4QlBQvXUKcq306a15GH4E1TAhrLkOOlX6f5S6GYfbo3Jzsje8cgKfhc
l7YdYZ/FwPjFrXz0hy7Gsp1Fosh7XOF4jGtjbU3OczEMfXncPPpa530zjyZAYXClIMqBiECUfaNh
tPEN2/991DgWi3Hcavg6MPHiaS8GGx9WX1xA6kmPm0aX8dOl4WeRokjHFQknmTX2JRwIxJSO9XGj
TCzmCeDCo9Chb7vN2Hv6CWbeCphDoTHiYJIgiM8AMhLrCKrN/0U0T60f91rEYv4wekKnY72yXMv2
UpycpV6D12xN5cgZfNkHxQMVl60FIK0thba1RtKcJyv/Chb1wUcr5n/+5qsivkOFvjBMbk12oTtl
cibkF9EXc9BHV1+MfcBMYEDZqqIdD3HeNlq0gWCtH/lRLYY+px78TiFmcJ1z4wrk833mm19tJD+6
9cVo1uCCgHYiIM+XY3PejpnK8lwGWnTkd7NYmIOobQqjGicXo7RzonfUiT1C8tyjRrO5GM1G0YkC
1vrkNh4pTL0hsZOkWnjcvc/C37cfDbL0yQbWw7039NwR3ZNiALjhuHn0VVH05pOMVKVSeygKbqmF
ya52Mqjuwpx2nz+Zedn9h/XCXIzXWTI1TXQW3F4Rzxw7424HYb/AidRL68i/YLHkG53s8Kl7vWsw
cG+cJocjYubxccfxV/TZm+fTZGyF+snqyU0BdEJzvoValR053SzlyFqTJp49Ra3r14l5GiappH+f
HHnrixHLQu3RijQat8wp/qO3xhQiA8zim89f7geD1lwMWuHBKVYmyjxFFg6HuPGbs9aDdHzc1RdD
lvqo0mkQkXZV6/f1rYHfJ7kUuISD474bYzFqYy3sSr/TB7aEYGTiQjyODiKOo+7eWAxaESmxadte
ty2JBiV+stVXpYNj5birL9Zfo4hM3YvsjievPFY4VZHbDd5xr/UV7/rmi4+LqVKU2vrr1k38nbiy
6N8ed+vL0SpsD46T1m2dnqKxPl+9Pv7BzJ/q23tXu8LDZ91th8gJ1jTg2hUuh+jIe18ssIEpbERI
Klc39ecyNJOdH/pHVrYMfXHrsJrs0OfiNMJSF7lvxcnLGo7bG7yaPt48GAyY0sNH3W1F4/WrQUPJ
qxVec9wSZSzGaoqAM8sNtd2S85DRNw2fyZXUjnvq+mKc1lPVFHkAmC+NaVJapnhUQAMfefHFOFU9
URljoDRbWarZph7CJ9QE9ZEXXwzTsoZ5xk643UaWA3o1CpNVW+nyyKsv1lZpRIpPEj237rTaeU17
5IqEreS4FtXSUjK0pk5ygNNCIMQPu5ogvogN+dh2fdw3oy+Gql4OwHUKv3NxveJTUYxCuEWvN7+O
mmf0xVjVQqI7iJ5mZfXqhGigWtvUcTQetxnW9feDta2IbiN4vHUbx/ihRUBpTOP6uBtfrKoDwSbp
CFHVDQPlgunxcQSofeQnsxinTgj9Xctkg+cQWCe+72+Q7fLjXuiszHo792YxwX2O3bauEjYhJGx5
JvVSPe7Ol/pP2sJ9UQ82cdgAtgFG3esiPT3qgc8hlm/vm9QnX2G9Hklo0OpmNek1gtKRzInjpt5X
UfibqbfzySeKzapxkV6rD2bDPID8atKO22ksNeVtSbhe4uWtm+bVtMkH+TMIC+/Ix74YpB7ZqfAN
MPqJsRrXaYoSpo6/6rzOF/mHw8EsBnj74J3MMsNCSRsXaKxDuLivnSeKV9wf91oXQ1RvUOygTuZz
DLxgZaT9gwRxddy1F2N0Ak4beUHcupXo0H3aw2NS2lfHXXsxRpH/DRCeuTasxW9mO54Ls/7CzvLB
A1/6ZTB2en5j+A0kbkVZKxHAlkk9sj6gLlZSDR0NFA8C6/GnXhLQ82ijPT5ualEXQ1QJ2KdXQKRd
UHrXSON3oBGPm8lnVNPbj9DEdmIM1NS3+dTtq15HRX7cCqoudrrFKBorLzjbEQp+ZueDSyzYcW1W
dTEsQ5LMg7blpov0+0QkTCTvjvr41MWQTFAhFlCwyYEPYmyezrU9WcfNU+piPLYldtCRaAV3rCPt
2zQ2uhu1Rr057sYXIxL93pBFodO4tYKUQM/iveM5D8ddezEi4ySshdRUBWogu1tFtZ5MxzhuYfub
mJwPuyQeiiU5CK1hRbahAiNcdkcNHHNJoyNvSzam6JRtad0SSGRTxT7mmfzN3Rz4QWmWwdi4rY2Y
o59tSlppfTvu4osx2dN/H8cM0yJZPvs+obdfGiCFj7v4YlhWbavGSsLF7URcGW3xKzSJvDru2otx
CSN/VEsCu7ZValwJrg1w8thrL4am1ofSIJCRsjFsgbPW9qNDaQ7WkU9lMTqDmnxa9rN8KHgdV5Ma
fU/A7xz3VBZjc3Bas48dRv5gjA0GFNOzckxF5B4cNbWYzmKAFj35MfRqGtc3iyel7+5pPnw/6t6X
Yq3OMFRiPXkubeuLDWy4cEVwuTxqH0FB6P3iUwUdgFyHeBh/GK4gu5MRUB45Qu3FmhmlEkdXYNQu
XPxzWMXW1pbyK0fj/EH/fesGJ/v9jbc+3CCnRT2rFgBzlIQY6eCoTQogjPeXroSSjYSm1S4w8zkw
Q6vWQHVejnudiwE60lGosdfVCAysR78eDqEUt8ddejE+h6rBNqYD9h21/+LszJbkxLm2e0VEgAQC
TiEzyay5XLbL9glhu92ABgYBEuLqvyc74v/dxWu3Izhtd1Ck0LAl7b2WtJns4uHUKr4vMwKF5G9b
pYtsmxqk7xS4QgLxeO0eYigw901byWaAzj0ZRR1YXcD4iirxcdberQeO27t9LbMZntajmBXDGV/U
uL9GRHDLmHzb9ehtgtOEhafuGXhdglXvlr6/+OpPtd+/6eLb3CZTJoJxGepiNUCYAd5MDp5sv+97
783gbABmBpBOgK1Sg4QdugcALf8Qdl7HyS+G5jaLyULhIE0f66JWJpozHTN+D+oHaPGcwAKz7/03
gzQS7dKKLtKFbOgXWYevXi/e73v0ZogCpzZKFpca498ANj+C/BdAO1vse/pmlMLMEzWaErx4GLwq
A+ha6PUf9z17M0brZehR81OPRUQaWBxXitpQFHLJWhz2/YHNOAUmsErmRKJLLh58f+R9M+zbi4Ph
83Z+kU00YMOMR5cufZ785rGkbNc11D+2un/vsGTiSgWUty4oYPCFl5DpOahQsLarTbb5miQ2fmQa
9MTSXwGzBDmNhjsTxgDZedsqqMDyJjDYddEaYD58E59QD7vvdDjc5kJNOpznMEWTY3q8NY7cymjZ
N4a2WVCpBXcdlgddxGXVZvHqblMNFfS+Ft8M0BS9xF+I0EXQmScaDHfan3a+92Z0ajDfSma9oRhZ
8toE+hngtV2bODCS3n7KcgmVqHoUjjO0DHDHECYMTiX75kO2GZkT5YPHu3TAvQ10MqAcPM9eui8E
3aYi+T72WW3kD0XVUIXaRxxUHGffY/saZpuKxHmKrDSAfAuaOpUnwG6+k42/7vui21QkAztIiVy7
oQDDgMBkFUIEVe27PQ+3aUhw/sHNunToLl0aQkHQJg50tixJjfjDYnrt079YTLf5RkjPhT4LkKui
qmqAGFocnhXAuw/77hHCbbqREzMUZQqahcQbxZAb26u/5zS2OzeN24QjqGr8EAWq8JjUbjyoivEM
LRTt23dtQRVxvCyJb/y+mCUjIIohrxzoup3zY7QZsZNEBt5I274YgVOcIHgn4qtwS/snnNPvvu1m
zC6NBix1Qdt0NQehbVIfFhnsW/O2UBlJOgDZYjDVNJT0Zzf6I2pwYQDdNQNv840MBbe5l7ZHTWe0
vvpdWZ3DOIEie9/jN7tSinkyIg6fFSKWYTyhjhXg4ajswEfe9wc2yyou4wScTwYtD+ncRevkQz3I
fWfz4TblKBaKIMdY90UcTi9NNT5bMb3se+9N1FuVDnhZWQ1F3KZf2s4GWQ2Wys5GuXbTf10TAWYc
Jx74xgVM7ckXEFCW8yyU2dllNisr9LCLW2nUFRipacaQ+gLXjRcf9zXMZqhq0JCnXuLpEfA0WRRA
x9L+KYvpnxD0F3PwNs1oaBak1yWkKwwTVQn8fMsx2cTNIkBUTitxVr2zL4DUQz02Uo8VU10P0XuU
uMXDE2Byo35JY8XOAveS3ZkLaH/BK4bJ6wHeogS1+2vIB/3BgmM+574bWvG1A9gfVjgElgSQSJy1
H+Melp2DDHBKljPcUi9wuHoJL0gM/9Sl7IAqAtkEpwmfPGT2ulNA+RgfKMy4MLbKBpJVSIOB3PIl
WecTdPTLCpCLou2XJQ7D8mkKmce/jUE0DEWyErhp9YLfe+ihPgT/yERAiEG7LHLm4mo+V2CNpHcs
AT4594eVvJAktZmBBO7SN6NeC79LEwdGnjThwWiggI8mtgDqR7I2YV7JXnWIZ9MU7C8N2FWmukYH
t7YteXqRFL6GYkVr2zyiwlzW1VMPujV+eAhBEFszXupyfQFMu4v3RSH/8H/+1fvVEs5MzLQrGOSz
OPXx4HOi6b6htc30oiHAdGKQfQGJxI8yFC9l3Ox7722el8FNDCDoeO9oLosxlTdlFOw7HNyiGSOI
SV2AE6SCpOmSlR7Q0KkES3TXkN1meWn4c5jApV1REc6zRQx/M673BX10M09ylLeaNva7YnZz/4AC
rebcgYuwbyqjm4myZo0/t4SNBdgY4V2I+BWZ//P0eV+7bCZKrSpjTG+6QgBt+1Enw4rDfKjLdjb7
ZqYcwAxBmUjaFaAGellE+F29VvuKv0CLfLuEwE4YANPQd4Xr+lIdOt/yYoGYcOcuZ5vmFbRNsHoU
PZJVKlqOkEfNQH96kRgOuxp/m+oF0actPag9ClxU/W378Cbyxn0VHSCzvm2cfrbaDC4GidtPkUc2
jTFgVDTlZN/RMtkENQawS2pm0hdygE83g6aQ4o4dUs19uRggtr79AbZvZeAvFQIEH6RAYFOAumia
nQHCNt+rj23J1wpLOO5oNJwhAfRwkEbsO3bbJntZH6XSUdN2KHSV8obRK9SfDRpCzH0dZzNqR97C
oNB1mIZhd72pW+p/wZ7W7buS2GZ7xQt0ImpEvIqjLChhw3IuYn+Kd3b6zaglFESk5ro6gTFY5aMd
4PudlNo34fxDNv3XwhroYJkX7JPhI2vpjxrZ5j9WNUNot6vht0lfIHFBg8IFPIEsNt5FpG0Aqae1
0R/uDn9TVxduE79QbgpyqYT7cZUg073vRWM6eCRaAqseXIDvUXD24Hmp5AdEcSLNK+hu2Kn2oqjb
9/W3+WGo04UCiSP+tA5eudxTHAAKBaej3LeN3iaIgXe0Ys9ynZnKKShvVVOh7swN8Fnt/Eib9Xj1
Z42KV9IWIKM3IlsstyGkg6HZGWAFmyWZQcytIT5sCzcTpC2v8yuy97/v62GboS0n5aYUqqiihwwi
Xyr69zpFe198sxxX0ASNQOSqArHtSRJxQ8i47whgiwFXnudXFgSRYgrNmAsvxFWDXd/ta5TNcf1U
S10FAIcVEIclx7mGlENFzc6lcpsnZmNwf1p80aLRi/cNWG36XUPbs2+zuE0UG3nYduB9qQKx1kNs
1ls5VF92Ncs2T6xacM/IIGQvxoXUN4HUSQaGkd23iG1TxaxgTWIEVQUVCVCPQKcPN3U8t/W+YbpN
GAtTOJvBy1NFHEG8O6TJWYSB27cObFPGNMTbVZk2cOiGtb0D0hlUrImb5/9u+OtM8os9+jZvLIW6
0tgA67tcQ9jDoLCt0qP0g647Muzq2l0xFmDNb0Mg0D/KEgIoWaw6/oaN+r2K69f//gXXqep/fwG9
oqT+ffwC4j2uBlGOhQrBroTDZ5zNDwjV9qEHYDh6+/gGsXJbl60s0j4pcbozJhfFonnXkKKAXb15
+Y7weVk1Xr6EMv4YBQR+PlirdvVL4DffPj1la+wikNUKiCICd2gbXP7CZtFys2+nu00NTBwrwZ2s
usKfQa7L8B34dcb0gTze83FDf/MLFNiOg0kbTDkReZkn/10VlLuaHtKPt40DZghY9xrvjkPT6NBo
3NCsM3RWe14cjPK3T/+pZwhiXYL97PUvbR3tK1IDLO3t02XTBrNPRnldWpPnXtGomJoo2dXodCtA
6XFo5Jfq2uVrHDZ1Q/LshVWzs2E2m6HZTa2bHTzCgoHMlaOmdPi8yrQzO5+/+ayJsWWPyFYWQc3c
IQHx+wlekfLdrs+6zSr76WupgmqBmBpOoAdCgCr8w4D656TlF7PZNrGMhZQsjM2Yza6A0MchCNr5
3Agz6BM2YjM5gaXHRhA4JdinnsOu4K6PIdT7TAIanmZG1kscei7K0rWcQVdwnhCPqo0WkisITZp8
repy/daVrplPbY81N58jvnyHtDO8NT2fblxTmxMtZ4tHgIEBV7ECyvJ9HaC+5VlcORXvW6gkxwM2
bOGKf9U2r31kfj7wvvbWA/7vsbmnpOzM932Nvtmg/3Q4VGXAH0wq4MhqCCRh+x6/6ZEAVkO+7BtR
kMX/wcjwnAbV075Hb5Y97DWd8pgVBV2RZytJeCHd+CeQxvX9ftVVNgvfPHuqWscFuO0erI6LHldp
ocRE1sPBYodQgczJZL3rdA28vrczTjDAGxqaSBRe77FjKKw8rb2sPuxrJ/L26bUrZ+wRqShMF9YH
r1xfIRP9UztdG/tX7bRZQyAcb2ahZ1HA6da8IKs6fEzqavm68MD7w8nm7/7EZtL5ae8YFyoAZp4G
GHszo3HYfmksKtr+sKn+zSffZs39lDBUzSTEaY6WANlhnoRefYUmGRnd+06VAK9/+0WqGmcnpZZo
tJZ4SHRjr5iIdsZU8WZAewCO4CCgFUWA67iJ2tNEgz9M0L/5Etskup/KHQHx0HRJ5RiduiTFvT+r
jPR3ZRf8Qyz/d8z5U2pUXkGCqHWvPqVDvK+0lW5RYKNLhwY8a17EcTSdkHMNZm4d7Nus0Hgzkk2D
o0g6B3XRwIx+6o0DPTxtdu3jaLwZyD8NS4Fpbv4xK3VsZ5tvhvFbZ1CZDifVkF37Q/i/3nZ2BxBa
M6YwqIiG3F71KQOsmLtmti33C2mFVxAuZCQ9t8MNH8ep8CL6su/hm0H605wmgmo89ld7l0tleNr3
9M0ohdxPl5HvNUXcjP0tsl5fh8rtg8PSbQ5dxeLKM2RuCumIPM3p1J79Qe5LRaXbNDrPLbhPUbop
Gs6HQ18nd16sx+O+dtmsuz9dQJMKm+VEiP3QayH2HSrSLQis7tJpkCG0Rq0ZHoTsCq67fYv4NpVu
I7hr59aH+u1PZrrrz//FMrvNpPspvxGjgVgZ5puegSi8r803I3QFpGc0U9+gagkGwxYmNSi/dZvu
S0gDkPrtDPDTopOE3UrgOij1bbfAFJvvev9tNt1P84iycC+K5/9vHPktkfqfo9pftPs2ly5kawA4
VVUXgfOoufUbFaHAqALL8z1ISV3RROlKs3gwKjoynK7ZfJhEZEDI7Jk7DXPqD8e1DyryVcURgTIa
eoJ41wk8Da+r9L/uMKC2oStNovHYQO5+isoJTGFP7LtXo1vCD7WErlJM45FaVSPLYnqPksplX4/b
JhD+9BYBwjlVl4b6yXysRzG2+3bZ2wzCn1qgRdcMc6vj8GDUEQvo9319bjNP6UnMqyn7+Th38N2r
BAqgPg13HZL/j1cP0WYEWbaaj5AIqdxGcGUqCKX3vfkmiuhjE47wX89HMwM7LcdwyDpJ9qUnwrv6
tlOG9YxC/hlOMsIDiKUFzPI43/u279U3E1Un4LnxrwoZQ2qVJZ6H2rMl9Pctydv8wQppsn7o0enY
ISko64SuoKWg08dd777llYW272nAhunopbiwCcVaHRsX7WuYLa6s0TbocIc8HYHXJE+tWsQ35q/x
vghumzu4RrUdptmMx7aFExPQbcBswnIfsAWKorc9ZrYDkFmxG48uhjJV+ELnsdgZq4Sbzh7Bte7R
Aa++KuBa7OT+9jVEt/s+6aave2uvhlLS+ViheuaQ2rrOIWPbd3lPt7lfK8ogysYgsIp78m1U9EXV
ZF95Nd2mftUKZ49dH86wgmgfkklSHssSaXT/3S6/2SZus79kIAYiOpqcWCkj81TPCppAx4jUp1D3
WAX/+8/8JibaZoKVhpZhwPEjIpLAgEuiKm+XeV8mGJxVb7tlX5cxjGt4elW1DWyHHOkfnftr36tv
lm7BMaaQz6iP/dUzCnEhP4yq3Ld6bDPB0j70JwVJ9dEISK5UnZAMAON13/JBN8PVKWw3Vm31capX
eQpG8WENeLTzk26G61qrcO1gaj32SR3nSi48R0rqvrR/3Oq//aRt7OIpTsr+6ClP53zt24z2bh+5
CRXQb59ehqHUkD/1MOsNdb5GCvoykOv3BTTbHLA5cDhy1lVy4rxd369+v3zkfvsnlPxvhtI2C6yk
1gYzkpWPkQ5Qj3JdtXsS/OmM8HdP3+x1YbjBcbVL01Po4ejceN872b7fNZC22V8CwvMS/oz4BM5X
KSFXQ3biVC/jp32P34zTQHa0W32dnqJetUjA5Qur71gg22TfWN1mgPXwdkLh2aendAwynpIb6e8M
Z7aoL4C4hskRPFqFWP6u+RDtvoREus38gp+hKet4SE/wzjaZgKI3h+bL7ltWt0pP7st6Wl0XHkDh
Ore6f/LZPpog3aZ9+RGSiqhS4YEh/YG33l3YNs+7usr/pHwBI1Rr2kKpxmYVFGEvUXddWzV/2Pf8
zXFU2wcDl3MXn8IuWIBQD8fw5lqq9yee4HUw/mKnu83najzRh4kt2Un1HkzlpTHqYYz9qjqiTjUu
L5WCUvZ+Wsv/p/P8j831P/u9X/3RzSIbO1K2hg8Se78F2sM8kI0k/VEIjDp5qstFyGzoFHQ1WUsH
rO0Ld7qNL53sWa1O2FhzoTK5CuMudem88iulFml3rY+UVpFR7lZrMwQ5/XAnWJD09zCP24BdFi+M
BwiSV1l5TebTtIFlVU9xj0AIYsq+z6J06Kqvva7VHGShiBt1oasA7vngsKGPq4MbjNW5cJQvL0DI
WejDIwHFDzDfrlnGNgvS2WMhhLFAw4tz0AsG9L3CmeWkMtQVyBkvOMZd+6EnCrsBHvMEcm+F/6zn
ITQHaJiBMJ3RQiI3xpKmWN28wLokfDq2Xzsc2sZztujAD2wWJayqP7dNKNLvCro4ZVDIuXZaZaB9
cffpmqR37lfllqwFNGrMrW3GQBxiFE6WxxVXNuQIpd0y5mWCnpbmhlkH9yUxa+TfBolh6amJ5lWh
Lmzo3BmWgDaPWW/YPfdniP38hlqa1zEbEIUlKjkkCgBcaGwrNrTI3+RdXR2mFJtmOBEjSAU7vNnQ
6jiD4TdG3YhpijKMETZiLmEQ7OFrdXWT6QSRXZYGnlSHWbXkyzApdrBuXeLvc7M6eup1F4mHVZOE
fawHEscPdCopvVvLOpmrg1xRoxKeUjsHICKsLJ7lPSo0Enyvvml6vFzlr2k1n3xQjRGNKb9bxdkx
uthvQ6Karso7E8X1JUYFUvo+gJ17dLlsQ5jEqsS7YiDlLFvroYplRdIWCDoxHIxHh2/ZdRcS4SCN
XJiAuzQTTKQnJmo4OdlilcaRhPNGc40szXjrz6M4Wo056oF11czfLwup2gTdoSPzidNoXPKuqkMC
Smzt4P40kP19TibadrfpsuIQqI78eYEVvZ+6ScKLGsUEEdQ0USj/4H+l/DkQiWYnAFbEcgufYoBT
bX8CW23FNfNkKtRu+W5kEzI5GSBrvpy/EemhZkabOOxf4kgFyaEux4h/w94nkRg0EGCaw8ijbnwQ
s1+x90jPGtSJuxhlQmnnd9HNGnlE3AW1FetfTSu7GRUz2uvChwGDtj62fe3IpVcBH15rTyU+wfQm
KhZlsQrT/sGfJhF8C3lZJi4rq1RVhbXGRDe+bsLuE7fMRTmY9z6q0StLgxRo54jJ7+VkK1FlYhDJ
t4iyoX9Fdfla56xpsHahzqNz98jqgwN0IJ0Xfu+4NnBBQnbp3ovVD4K8rzGSvvMQ3fxcCbI+TKlf
neCmTPhjoqGnPPpJ09fvBjhX1yeLAg/i4SYa3IDkcCURs8top7b9W/SBrG85G6gruo7LshhIGujb
eYB8N+chDcnnhJEw/SuwonxACbl3g2uk9TtKW1TGbVQdKgCCvMPSrIm9gUPCrGfAg+gnmTZheugl
Kh2fY1fL9iGoyia4WBhu3RHiSb6cU6d9VsRsEf6rD413+a4e0qrPezd5YCJyPx1RRKMYRH6w00b6
fvTXyb/QnvXyA8QdZfc4R2lcn/xadPFhWrjB3GmjRNcn5E8H+n5IDfsuwQRo8xI6bvtYL77GVFJ3
iz2yqJt0dfDDjplbwQE4PpXV3KO8xotN9b5OxjS8qL7vWTaVnmbf6jrlfV61o5h4lrRB6cM9FNLl
Mko1TofJEt87TGNLgqyVq+0/0ynFGxwivwqAM1zwFo1XjTrjize2x/aK5MkAtFvFA6y2dXiMYBD+
QnxnGfRqVQsuJ1QQ7B7hUvWjxBCOcy5roiBatVH36gb4GQE4UgrIs4yKdW0udkKV7HsHP50us3qY
4gXz/drbrsv4hGXaZvDGm/G7nQ2NPkLBobEgCNBq0ncST7l+yH6a9RESxyYGvtNCXZ6h9rONCpkG
qTgaA1usy6pgStZbu4wVTi0WmKXSs186xIioZKvrywjLmpetumm8FxYJTQ51yGbo4H0TpIfYrSv/
qP2V8rOZVpsWs+q8EvZyUro7CnnXkx+MvHnBKTJxImuknNITqPHVdJMK7GAeHM6VklMoGqx3U1lG
A/K8Q5iOVeVzkXerDqY87HXsoW5Bj2VjUT23jsG7yRcKxRhtOE1PzeLH5Nzhypg/dCDdNUNmXAiB
Drji2WB1GlwCmo7TYzQOXvuVNEsi75ikI/pYWytZ/0VlsqInKCDbxmNXJY054Zct/BgpEY4fmDB1
eTNWDacXFNEyeT9rAufWEdORZAeokmj5YwUqGUzzsebReeyaqkJuMyqw0EcScJRuaj65/gyxK0XO
MEEOsX8ce1gPMzO5lrzgbyYfTVBPyxcJaDxq0lNSd2E+AL9Y5R7mpzJfyn554YRN9JykPWpdorZF
sqoyOvFy188TlHK6swsKSEwc5LhQSOonvG4UPS7WVc3Za0kIxXFTCm9+r9TatTdI3a1XREXtunzH
qjG2AoxU3w+erzc11M/hoo7X+9VPQzViJl5deYFGOUgBmmUQjt1ZTMjDI+wXo774U51O52WCCPy6
ci81mAAVmnEcsynFKPfBq6vWucqHxjr3TNNFphlEZgk7xaHC/JYJarl+9KcgGb6ueuxDnsnJLNHF
hdRfHkL0/voTHxcoaPAjaVc+ChyH2XeJQCPerAQu50NL52g6Y/33+gqNS5Q52jWObYXgaepWfExd
mZOxwlMf4sBN6smgzczNwJE/+MhNU8PYzetu/LT0MYk+KxK7RGUghPltj5aiV2s3mKn+E6j1Yfq1
A3lFfBnkIAj2VwAi0lxxwuOziqfRIX6r/QQK8cGbHZZCuWD5QLQHZCzzIhMfRkAaOoe00dj7Bqq8
C3Mfizq/rPMg3scz+vdR+FayvFlW3L+ouA1fI4K8iJy6pOQ59qJhDCNiF88FkXHETEYXXw0PfQ09
dJoFwHee+pTL7p6q3noyY6jA+sq7YVpOUdCE5jFofQ3+Lu5Z0/dh0tr6ZCRMOU8DqemnZITl5TCG
JY4Cksab2INr+zI++Zpb8oj7J9q+kyIe19uAt0OHCTPE2EBaPBLVkkIAoqrvSyXTfsmTMKyeHDJf
vHxhjTLvxtUOKIhG3SuxOTCGpcjjNGj6RzHijCmrVSWHI3Woq5UnlKgFx6SkbXvQfknwJZpaBvfh
3F9Nrmy8Bj8Jsn3rKk8TE5GDmgc/mDOxLu6VJxLUpGxVqFp836O4jX6sRtbd6XZGxJXXFffygIMK
53LM7iaLLaPTK5mBPThXzPZY7+PFR5hOUcDbT5mjoTddGryC/zx37RTnJGLDQbh6bguxYKh/jnxt
zYnEsC/DTKKBPAvChiYHKpFHmo00WE8pFiM7ZToq+fgwI3UqbXPFVCzvxFi6x8RdBairXuntmCTC
PyYw2CxYRhFyHPQaYtq30njVRbA2mt7PUNWbd62egxwXDQP54mRpTV7aOjwjXIM1U6CKpsOtW6YX
Xp/rqQdYI0RdNRZbmq/rlPZZBxkSO0zaJ+cK8cCrVTG9rYBSUhlL+TDmdUBYBWZrT7KuCzm7SWzl
/gpR/cPvYWhHqu/KxzW9Hzyin3wLxCu2QHS6g4+drIidglA/Ga9HJvm0xDlDGfk9LkVQrA15KQWN
HGXI904n5ENnveooCGdwe6tlujVCpo+VBUH/INCN82iZbU7qsjmHYZjezaxyN1WwyC+uMvwlpVLn
jc+eZaTVh4inbZpVfj8i7WSWQgzZ4jepHbMK0a47Odjj3JkZUn1kwdLfTNwl6QHdmeUKduzl1Goe
3TikL4YfrJfEL5W0yFo4kKmNvXOpYmNlVqLnJiiTd7X/VzOVbvoQRYy5zDQKyvicBca6Q3PlAVyk
W1ZgUxIduB5m3WEYCfYxDe34oWIm8G5MEKIaG2Wl1r/RdVCmD6O3jNPJoM7f/7gySVieutBMt3PY
R9UXRK5qOEYTjOfnvumb8I4vEKBnc9Uamdmg18lHOsvefxzoTPsjMA2uBZJgZPWl80wqP3s1XMI8
j1wTNQd/5PWUzVGDUDSd5rjJtUSMYrOSepTKzEXQwX9fkogOd2bpzPoNUiqLcKiekgi9W2JsRX3G
UTDEj6DolKTQiWz48xJg73/s2pCq0xRj3jlgR1PFl6EiOJIdYkXoI4pqeHSL/FkaHIJ0idJLgLKp
5e8G9QHqcR6npPdzl1amvhmHkfosA1AkwR3jyol0z9gaxwS7YKRsrrfjKEfMC3Ub2+C+VxiSLwKb
VftZRCK9hPBtY4OsbPw5GKnwvijcUmKbvHQRJIg4hK5z9A4ES1k5G8zuo56Xg1GVTl4Zavqnj4nF
3P5pHIeU8EMUDx7Wq7KNPPPC7MphtfcIiWk2TaVWeVpSSR7GNVnc3yHK/eVfukE12zHhMAm+c7Je
UgAHok4/wfEcCcjqDeiuRdp4pHtiGGWYEX2qhwTTU73EOCysW5Q1nzn1a3umoha+OoSrRgiQScZY
BQx8h/0HIj4+5M7011gEGpfJPvNJ68oWqaiE/ihHrzOnjntTehnHdI7wxdbU6sNA5GK+iDRCLRKr
RTp+mawYzKmvfOXlqZiD22aoSpYPuE2e7hznYYVPEjcoBhxxyp7r3gwISgcGnMzHeQUlFwXSQ3nX
VWQobLkk7wZK3IToIFrX/tFJKTMNXWeGorBqpvCLJbw7OZtELq9gOJ0vKx2xQavTOc7GyXZen03z
ZMfnOLBx/beB2iQ5rsL36wOz13U1q0Y4Js4lwuy7Bmgu9DoaKHpTcihTb/vKda9pgkY40GkKA5n5
jTcEH0e5cg9RqvO9YlnRrwvEAUF8M2EJ4F+tpU2BLUCQfu6AOI/rPEorv3nXm6iugYQOFGvmDJ0s
onmCWdVhN+ehcG6N66B5SLj111xjwH8QQaSOsmxYi6FWzjedjxOMe5xX0OgpaRcmbqzR6TecxHxC
6DERBqUKQwp4B0cMedeSqvwCngVvDpXCpNhwLe6nyUdktgIwYi8yTuq8Xx2EI8j/989NrKm8HyY6
yntdzuPt3Pcd/wpB9PTDG8Q4HpbZw2cMl/ijmMPr5Y5IsLYvof3IEEtMh2odEKsjr2laMmljdUKx
csoy3tsKsQGuKg1kd8mC81rMhCPOdyb+YFGOAANjcj3pQeG3/igQjGUkQgb6BUfp6XhHh2TwnmiM
JD4kBcVtZS6GVdUk8VFm54+o6C55c1x8mvD4yBPWPFcD3PDHAGUOw9+LIcLkXo2Tqy9gNUBQq6Nk
DI9tTRxB12zIi26wHylcy8eMcEygfWZmDYtdReb6exKpkXykdq5N7tQYYLcTh9IsGTeJ9D43TVB+
S66hyTlZUGX+wbH+xyTkFCLcTYcAwawKxXxO4QRJ8pRp9aOLMGSzBMqOHFoQPzzKNEz+OfwTdEUj
uOQIvmUZYisDqfppIbGNP/WVl6L+uElLnAx6qQIZaeyBKDggKFH2JmJd913KhQaY58Katx9Bakt5
TnRt6ZlPofsLW+dqvdWSlD9ULdc0gv/bGXKnahsOH7zSZ9GPAMqM6C9sLWucjPAquks7LTB3+LXL
SRUM9kmnZdyj1Ah3S2HFKv+p8RjDaTZCD/82sgCKnlKjGTks0+rTo2FmNJlU8/ICJnIQvvY6Nc+e
F46vSRkHH5BAMa1FV6Ja5Ox12BgvUi3myMIEQN+Vm/4VbS5u20BE9ZFxCLj/j7ovaY4bR9P+Kx11
HnoAktgipvpAMjcptcuypQtDsmRwJ0gC3H7996TL3V3W1PJ1HWZiouviljKVCwm8eFZknITtoc2U
6mJmmnqKjJeWn+HUnaOOweVjTDjx83423rXg03zB1ZrJbZsiemFTsWXedaiV2FFTkUOImmSseU0w
PGRKs+XK6Bbu4XFE3k/EOpfau8kh4vUJASI4nA3LFGafAQ0HIuLjgs/Bn4oCy4IKaNBi4hDwH0ti
P2Yzx5AYAErQGlNGwTzEw4rVS3rI4NmGSQ3cZEK9OnpKRL/mO98Q84D49aK89WULE/iMBobbHC8k
CvKRGhdj2V7sFPXAxoIrU2YijAODl/OxbdOp3RZdWmSxHwozvZy0roe2qer6fBZirfA3Sm+4LWk4
VVeBFhMGtiUPtlIar91DQimmG0DRzQbLRNNse8aKIfGzsaLIJUcx7KadCBYR5GOc4bsAHJEa1hoc
tyeIlsdlsbeDlxVj3DBHqzPPG+t1h/ix9dVjqE2KKlRDnuu1nXH7pBIfRzmRTalCF3ednc6ClmLg
zPLmfDEZu4V6uYNDAPmOwDkQ1BCEIv3srZCTbyUcMstH4EzziI1oIPTVyl77Ah045Qp4YKicaQ4N
GIr8KVu7oY7xTcHwLssMkzlWzGqs46xLDfLLEV6kLhCRJkWsJm7cYW7DTu4EarlRjZqOXOaRxxB7
uJ1UcLoJvWLUGu2KHU5MWHzKpFgHNR0sTBkq8tvZVriNwXe9Oeyd6cH0luhkRKI2yaOm9kP60IaY
0JJxUn0Wi3Dk8PpYvpQPOUdMTUKQN59/rgBohFHduCz7SOYVq4f2PE7PuKA1i2vlV37SAg0b47YZ
AW1FMEHNOingQiNXoel6eYNCkHyMFqRAm41bUtZGi7+GmGCUofaL16NVIWKweqgbdNmMYpctZhJf
ON7U9GnAgMqPbKCViMNKlP51pSeC0GSDQ0GWD3V9u8DAX279YiD1EjGY7UcAmFmzahzULSAHXNQz
hkLUpqcduq7VkF5kLcnXAw3J3FwoA5w24iaYkJdusv6NsCDPLv01bSDuSUnZ7J0cPf8aJl7BcU/1
wTqB/2kWs0V/49RvIRczdQxWhbmXZqoHDwWJq5UHrwKc8plU9ekb4jj4JLRXpoBrEQew+tIBPyzj
Ujs7uAhZLNQ/J9xnOFwy6zX7HDqL8WXyFzUkKeep3U1Yr6ekZ8aUmyoIZJf4aKSxZdT19ZJtcRqs
1HkaIn4N4svqVA+GtrQ2KbJczWepJULG8IloxRIkMRDcUHlag88GFdrqMz7OwYqZxZpwD5CgBVvf
YbaLgMPSMvJKuxZJh8ug2oazo92byFlZeTg70NAG6LtFiMlXU9YV/FwlGDKLzbTGnBjGXtWrHfeN
v8yHkspAPiAzurbHCUf72eCN52ERYgaZg/aKibyaP3l4N8qLMmqD1m1PadY4kI5yHcNLdzpBn6de
W84YvqCXRcDUkmp9tdR0wGGldwHHDR6WwKxEDK6F4bRKhlo1X/IFp2sI5BZRk7fejl6HYUAwHJha
C7vtiLaatj8bVOvkFcPioTEqymJ9LTOwEU9FMbXlNtRh4034dE3QoIuZ9/lNiHEf97KvRMi2BqNR
95aZkE0yslQhrXkSoZP3FPhcjvoX4P/2RfWhKx+M51rvutUgfG7G00EViQWLrPxYjB1yjWGbM311
yGrwXrhIQhNse4GDD9+gR9F153AAajbFKzikFifdvBe5SAjjVp5PBkzSEdO15EeMReFw11RF2Z8J
HUztwXPoSn8KCElJzE8z29a1teeiSviTd2wJ0qluPDe4HGscYuhjhcm42Syulv1lPlihkpoRMd6v
FXSBsSQDSJ48qBpEzPTas18kH0x6H0wDFv8G/QbFuJ55K+q7MbIi17A6TEYHC+YpVFzHVMzW7Ze2
UcG+B8o+7aqSr+QBqCJjZ3kJJjA2pIYAYAPjKellgmtzBbZ1QtS8bdf7vosDXhdehHvugpthCcE1
MsRjbAmFtLrb5h4F38MbUDxLVKFiTUZLNxuW9Jlg4d7OTq17E84eaRDp5k9OAdPT6EprnaLFkdF+
GB7YgFT1N6FDVx8x2OZiW7HMqbtpAjWTVFoWGu5ECNKu86ap+Hmqq6a8myQ+mPPFl+VwRhwqdS5G
vFYfjebLyq4LJ2p9Nhe9Kj/ioJenY0wcpuUuKVpZA7YOkdGWk9jhZjZejOwPvpgEPKCQaltCDniK
MBaPSDAkA42VQgBmvalBBQ3ugAGsxwdrRWH6a+zTDYBniHFApWF2U8tdgI8d5irFsnL9CPYknbcj
7uStWldxxCGae+e+lyoMdpwgvc4/0XjS35GCc7MrC9Gx41q1sOhSf2nt45Q7hdCK0iE6ZGu1mZcs
ohNnAhynD9EV6QY5xhzAxvBUj4isv24RuzD421PUKwWmMTOUu8t+VWMRq3qaymSp+1OjnB34JevT
sDmEMJdP+64xLkj0uJjm6A/IqQFESsC3tksv3DYHiE8jb6DU24KjtHlSSa1w7DTdYDAhBXUePM8C
LfLn6aqL+RaRDKEF9p6l/foaNCzQL6ZsSXUgAayOBwLUt7uAvby39xUiqTHbNCycjzT0huXr0rHC
HJdFewMAvtmX8aowjkTAlx24lXwYIPbrbHjhSD1MsV1QHHro8RKKxK2+X8bQxnNw5mF40qiOcqsg
D76sRjQDfyRTqYeL3q60OROovVtP37ZIYRhSdkEz/CDC4gUwnxckBZOeGRDWivNMPDS42usNJusS
GyQW0tMxf+rNdKW8fgzixfNoj5tFdj3sEoadPkFlAFdhkuiZuhrEWHnwpecif3Wn/fFVOPjsEW/A
9KFr1UIjgvWuugv63re49zSrOxsZOcDoD4gJRVEiIzlJAp95kNcEuksv/UzYaYtlFFmIY9Xk45st
ZjMf21XU7FM/Ox7i8NIV7mxZxDp/kqI249UpwzHYD7VLoxphN12EaVSfwHIzj9hzQWBey2VR4mzI
4DS4BFFSI4MBs/EKaKsrgVoxFFeGzD7DuNrJCMYif9rM3JRA7fouu4VMgmIiGlHKfFtA2Yh9ER0b
yG5Uo0zVgzBEQa7dEPBZ465J+661UQ6/Xxi1EjqCIAb33bs3AEka4C0AG2KfgVasuRdxi/G1iBhW
WQsMsWoXEkYIqce5czvDHopyoGYOefYIh/Xi+shNKLHpdvVoWV7EU4f8cMyhhM+MJn2QQcqR/MfQ
W8TzekzuwFQFNiZQBA2RJ22XxghKDj4GeLR3Pk6ZNgeVnbBfjeP3bE5rZphetf7Qb4AWrA5KZS/1
Dv+RupnMyxBWewR1z3NCeNG6aF0ydgXCqnEJT2H+/msKpvflc3wJm7pthmpD1OcivOfjX1Oovw8U
YlUwgq7B8wb5rQRokbO/aKF5XzrXIq1RpbkQW2yTBCCSGsnFgNV62P+xeul3AqtAGfyojgQU5lso
0sBMeLj/uqzN7Xk9eS0yEIfeAHDyxwK1AEJ1/vU8ALrFAavwSNx6M76nP34RJ1XRb6mN3uk/NSia
Ofd6sW3RZlolOZwhFxAPdjHmNdCP4OLknyQN/J6Y6p0WtO8GXGrQFG8RCNCJO7u0qUuMxpybTNiZ
kE6KRJIKU+m8NH/yCf+OyPJ9OlEBfRh2E59tuUQnh0XszKYD1vwnb+j3nv2d+syg0W8QmWJQjtQv
ZU8fJmnSP5GL/95zv5OHYkzvaqNTtl1Q+xFl/XLIXRX8xSd/pzCzlNqmdZxtgUFvQKTmUUqBPP7x
BfV7r/ydPDSdx9wylfOtJt6APX1MI5ph9/9rz376q7/yd/mlCaAOwufirzWyea1Cy+Ta3v3xk//O
Ffo+moj3tJ7MXOByyYTyXwdgSlNM+OKjV0j6tYmMgxp7D6cQM3+pni94n2eTST0JxAixLepQ2aew
64fLggJe/eM39G1x/Y27+32ajSiWALCQDre1VBkQaNUsE8gV/O9toZY/hJi88f80IW34LjfFfbHm
9xRXGtunQ+4ynFV0tkE74+s8BqhujqzASPbLq/vPH8SOw9//C//+0hoc9nVm3/3z7/dtjf/+6/SY
f/7Oj4/4++6tvXyu34b3v/TDY/C83/9u8myff/jHBnO5XW7cW7/cvg2ust+eX7+1p9/8//3h396+
Pcv9Yt5+/un5tc6bBIeePv9if/r+o8Przz/5AtKbX31Fp7/w/cent/DzT7fPxfNgs+fmNx71hp/8
/JOQH3zBhQqxJDL1zfA/vZ1+wNUHYK/C5wzZnUAdTybEBrWn2c8/BeQDpYj4lQqyKOJ/8ycOrTv9
yA8+kDBk6iRoI5ISmP/+8favf7lQfvlG8HF8//ffGldft3ljh59/gszqh+1ChNCQK0G4FGgYRFbD
+6aJlpjZazw7bAno31MS1gxYxa8YtBo4QvNDA0ARePA8DnynigLanw5JMU1SeyUktD2w56j2tTz3
kZIGGGUOjrxTZR7XC069MVAVs+Jsy5ouLlztu6Oq560TRTBCuSaA1Cx9ABQI8bsrvCjMm2KXhyk0
LlPfJ3nd8EOmBtNvnEMR7Y4vRfm45vM8JTSYZ6gRcWqGZLStEbdHmlQfZ8jSXrDrwdki1LSbRyWv
1xInSiR3e5saRZfIOS3bjUGt2+0I5u/LCL3V8wIEr/6ITl3+Upe2+ew7rft48UHbRDVLs2yrw0G/
jkQUnypZ46TREX+EqGkSJaC9sZ7vBkIc6oRZ7x+J6NzjshhY99dlfgwkJIjR1BBzmUNQQJK6ocUY
8cauUIv6fkaSynrA53mhUQU31sgpRwIIxVlAY0i+qnsKtdBCnXo0QDT1M0G2ZxHlLRJ6NqDFHEaO
sO8veUgZBJPQQkR2yihgM9V4Z8MQVBZPOro18aDhC87luAyIy2valh5a2vRxaBv3yTlbVJFv7YA3
UFahicjc19uuaIoXsCHlcYVS8BqGlfA1o3T+CLYObAZgwFP7+9w1Z6ZcwRwAOZ43KYoKHuoBOVDj
Klsw2cwJDeVw14LnWh17yJy2Dx26k3TSrSpXUYd+3VvKddFt8Armh3Gy1XVjuuymhIir34LTVvss
R4sbxDj6c6FnwQDWsFzIJG/cHCRSuPUTjjhjf8axLgLezWePbp0H+eXeC8fimQ0jsHfIzHRwToVB
ATnrCQIPFwosvCaE3CMxrOg3CCZbUG2JbNExNu1g08guwsEhtcjhwXEu1thV0/xYAKM5ooAUId25
Aq21GW1aQxavIPyOh5IDvaV93gS7CTXN3S6dihP93UFDkRAAQDsIQtxxqEP/xg2T/FgWyPdRZYa/
6jXAQ2MFtPs6LWxQ3QK5biMwVsE+73hwTbPVns8jQUtRNTSsjiiVzWMD0ci5wC7kJbTt+RcDpDCh
TS29LeA0e5anC4fEZw6gO2bNtFFNyx+VLqiMaprTLm6dp00CslNNGFARrsA7vz9IYAzFtu0ziIhb
4mw8rWh3g5rD6tsQsfUOA2+hPpMp7z7B3iBf+CjDczGNtsFRDU+OnPwyDlv5yY25rGIA5wibsDR8
Fizn5EqHuuWbupqgt4Usy111zQoEEDUp4Vk/htDzrDhKF9ugN+4za7PhJSs0kKMK2qhq12MdKLZ+
ubpgXy4+joqaQ+scpWQMXJTyUmTnndETi9tcIJkqQ9bdCA2QMlk8A3ojm7wEDx9hnJwuoLsOaQKI
s7dQ8lB0SLcpBD2QDdtFQpmOXIvI4IKF8MrLn0sc4tK9r7Lqdekc3RZKB8cGdzgCssmQfek5R2Wf
MGw3E7KCBnI8j/w0CL/0robEdhE8PJ9XQH6X2rXjk7fiDF804RBTCCCPkhb6I64oYF61wlXZ9Gu7
xWayPJZuqS47LckU90i/FDgka3/HMAyqDRPjl6IP553QiNFesqUGHTmXc+IKCuIVB/CRH3XF1zss
Nqy+L5VMn2XhyUtf44LYctEBPNWm/JwviPICl4gKSaBGtfepI7O7LEdFvropw4lVFhijog6ZEwLR
1PpIiN++2qBTAdb23Cc7SbE6PgCRK6DoIHXgbeGzXcQuhKal30whI0NsmzXwL3qx2L3A+HQvUwpy
iE5uiWqHOyVE7kmzGUBPnwcsf9KW1vugyjHA+MY9V7Mzd25CvQEwJBIxYIl3QGEa+MpDtJjH0GSL
MtKq8kFYrOMzU3PA9/kcNNeqhEwInqplPNDGsoOouvWzhbrdbGg7yQ01yLDc96kN8zsS1jPD76b5
QzcA1oxcJqutwnZ/KGcfxGAZwjYR+ROII5cacdVi8no60VXX/kLbbdDN7qHSs8yv68zWWFB8zXgU
AIt8KsBK7gE1zkHsJpO/csezOMv7VgIg7tQMdwQI73vtufHrDNV5nbC67p5YH4IStMMAyicttItD
r24tlHopGyEtEqD30SsKp8e4SMhz1vQa4MdKNiJP9ZhIwL8lavAo/zSAY8XGDTcSWSG99WsF+lWl
UKsoMQM89CHHcmOGoc9lkYFXYmNSFBempXWPOAhOaaShu82iENhWBcmbCzyEYIjmeCozuLIdv3WV
mBMo1D+1esSNqUFzQ5EqYRNh6Xke9FDCzEP4OmcFOehMSQjaTBfb0SxJuORPJQa5KO3EG5vzF6tD
b0fzqoViV9cudkMOOx/Tc/jJlsD5N63BSow4yQGdRH4bTsEhhHYYeFnYFeYAZ3cGO4kH/ViM2hA2
Jrpagi7WonLrdu5lP0dzJl/btmszSGUtfciM9NbIEKQk7qeykvPlisvnFUwOZCbTiFEnzKraJigB
bI8h5FvAQkmxL6Hr2/gjsrxcVo3nbrYyEbghhqQK8uIABwPZZOBHb0tGqy0b0ypJkU/3pYZq4KvM
U/tYSTRlz+syvHgdKOBy5WGeTBBqgGRiKb8Eh8WjRk0N3aB5ZS2A+zUlhxam9byPYZZXkDTAt9PG
snRdk4ADHNfLTgKr2CDOGt6R2hTZstEpdCmbsdczakS84LKj4wqF7Yxszk1LXfDZF1lZHBT0L2+y
S/2ohvgW14401aGuBxXEWBHQkgflp7xa1wqUwNr06mJajToS6y9LbCkOILUZgjPW914ZpWNmX4xv
cTyCOHd5Ij5iaQGf2kDFzpMrVgudwuDfcFrnkSUOc6jm1bqrF5bOSYlP+YJCqAf/UBkIHiH38Kys
+zQ2fgujXsv94QFD1Ao1iKL+l6Fb+s8O5NBZVTOZJY0voXnDpjRf6l6BdKlUT7xYUAbMGerI4soJ
mmURZHY2MRz6joSWtufHUcMnBROpLLCcEX87Qd+N3W8VXYVtleDv+VW9XrAKt2k8KynBsFT8ZlJr
+4C0HiFiJvP2ID0h4OvoXLFvaAbSqIA2AHmTfr9sXI6nPOatWPKrnqb6Yi4g/YoDf8D8wlV345ua
36JIFH2HKeTYfaTHNTBYK31cJ6Be8Z6DypHtOBRJDz4gGW0G5TpyHfsbBqLp3KX4eGBeoGsWYRln
UMVgKsaSAbZ2l5Om7DYyC2X9SbOiffP72s9vIXHGcqGn03RUZGY1yKC21TMGhfR2GecFXffGDASB
n3ZZcdsoXW/KOhcNGJoC4gks0IuFZySzDyVs7SP2ZWKvXLuk540bR6TXVv1b7Ri9nSB3HxJqVHWT
ofHyo98R9eBDhr3z0Vzz5oKRfIS2fDqH2M97XEiKzp4U8umbqS3cI9ZfjAshai3DuJZDsaubcFmi
qSbygKCb5VObL9UKBoVWn3hIjE1OMo0aiwAU/7sWdBBElNBvDrFGKG2FSZmUENt4FaaYIQdyvJeY
/kGZj9DCtGMWHPLB59W2IyWkizzD7haFaCJadmmQ6fxstbw8Zy5cuoMLKUSKeVF1XuJUpb6OzVh/
GXoESgNuR7nJZsBZ6iEsFgQt8GyC821HACR6Ma7eLDwDAdWPWLMKU2wZfH8jSMimVd5z2w9iv0B/
KNtEIZOpOGRNASwwXkccd1DegxC4z908UXnLWswlO6jOfOj5SgRdCShe3DNr5mhY0BO3nWCZiexc
wfvlhy0UaOhNOgS4n3Bhrp6sjxm3EFO7IByDy9VoDKwBzGYQE7F7gv1mPSvTJb0BtdFV19Bxryhu
K2E/849VyL0U9bSTq5Ano5GgQoCKB3FQjyNOKlXD+gVqhqzruotsbTEeGXh84Delpg4vbQFt+xmj
w5hdyUk4foVctHTaF0Nuk3lkzQ10KJ13lAwzyf1SEX/dIbiPBdthXrP8wGiRF59zELH1HiTUsmxN
CcnHEzwF5FnlRckjs0AI94RK4SaNxKypwJBkg1Tje5/8HomMw4Axs5+7PAZVBodwohefPAGVGWzc
236C5iQ1fpLmbFFHbN/dtC8ldWchGO1+40P5sG+JX+6stpgl/JTPd1mDzofDkvOCbLPeBBL4jdPF
RRtClhWvNW3txpb+sO28bIQpSE98h4gClZ4FfTtDWl9AaBijsU2kZ03nls5HpZ1Plgg7Q11uIO+o
hse5xLhtunmpL6oAmtAYtim2gmmerDRnDWkWtU8BKi2RZYjWfsAmxYdDONsGYw6ZpuM4BRKkR56j
u+ojRCHgqyju4fYG5BiSoblB0CukLzmOdlAHXhedUo9QzbIwgqzIwGWAtwO7c58v655qKcbzzAvX
CoJ6JsJo9YTdCr/v0EAv0UGd1+WjKrwUEzk1+jorDfbEMDVPXjCrLKrICluJvoVunLikz8sBF4+a
KpjqgrGA/p2bLMlT8Oq+rbFNNZmXfl1zzHoHKgqcjAAxjFlkq2z5sug+CA7DRDUGVjIOZ103ujto
IngMSXeA/Z8t9WEMOi8E0VLdOig6kV0LP9m5nnHHYmpJQfKmEBhyiGn0+DII6SpM7xLK4BZ6PBEt
OApX+3zoNY8HAHgPgw40vg+5QqtS5ZpewYtZ+RfI4Rp1gkdD0xOidctLOnSLNlELbwqNIYqfd7Nu
xGuHpR+CRPgBPw40xImpBDH8XHu8OXjoX4AzRoC4M9XgYluvlEeVZn2VrDULrlilg9sub8MTQFgf
CvT9rS8BxcfBJ96f47q09/jk1T6EqBSPbwVt4V8ZDoY087MeiH5YltzCMqYtgsEL6p+NAYW7FdAj
jZ2k1aMuR4Fy6x5StVi0FKrgaWSGJE2HqNFL5VyHdSmQtdp6eGMPnS7VOYi2BR6XsgW21Mh0Quoe
DvvJ0KewNYBGy2BEyFGHlkxOplixO+gvv0F23/HDH2Cxf2KSfwG3vMi/wO/afrX/B4BL2KJxL59i
df7zH/Dgf8Muk7cqy3+NW/7rQd+hS/EB6TmMMg5cEGlXJ2f7L9il4B/gHEM2uaDKD6R/qo//jl36
8gP0U4A6OVUQXkHo9NPf/oFdyg8nNFMprOyU4hn9fwe7/Jb8/y8sHG9OAp4Frko54uGg4H7HQ+UN
g6tWQc+d95Dgwm3XwYky6ulzNtrxCg7ne+f13m0TWHD5cOqYczjzYMWCsb4El15Uj3XZj8+gg/ND
Wiq3wSmMwYyCmQ5aKLvN4XS9mTmZb/H0GVjryVxjAqzeIJ54mdwAo/aqvE1XQLLH27C9NmpK7zsf
xg4sXsOnoA3r51ai0c+DGjYa0rK8Xlp2W7Y4EKDZBh7RgE8PQcHJhhQrDlKACBIFp9hd26rPODaH
MZ1gJcdMNm+450073Ih9NPt+ngxARYG+dXc4V2enhIET9GbVLeDcMgGW192FNbr/Bg0RgZ4GiIJ7
y/aw33U7CLWnT2AF4RX00+orZL/NcQx09iJ53UFXNdgX18jhvnB+jbrRFLaukAcqwaYv8qSoAasB
BE7pU4nzQ8xDVBqQTqrjRGH1i9F12EK+AKH2E6qLc2RXKxbmQChH8thSoSKSmgnOV4TjtVE/sgtm
0RgcLSeoQHrVcJ51tAZBKlczIguyBWbzP3u3/8Bs/B/iMr7f3bhT/2BJeK6fm789N69/S3L3G0sD
Hvx9afA/4OiEp4QajhMGn+E/lwbyAbc/l4RS7Osc7sx/LQ3kA34ifMnhuKKop8TT/WNpIB9wAsLS
wCBtowyUx7+1NLxnNZhEP63PKf4LqQTB8iO7aHqvm9A3E24w+H11Aoflnu0MV/dFispcUtBNtYg5
Gr30Ptf+jVn5o+j1zqknOGkruBb0eZqt8CLwncnZlnrepgAA3p9ZAImzqHBqHi+yiTx0frArrd6a
le2Ktd8TE7dZugkrc077mDvEhE14bNccq6Lfh10Fx1xww3t2yTiA4S68CVN6CakbrG0vs862i1HI
WOjuIAW6W2cEdmBIPhmyyprAj/qyVneL7jYFdNBsPnlXpwth5MHp+giJzGUTzg8mCGNjm2tAhRuY
/XcV+NWitwlQ6ft1qZBdkYb3A9f7fiquaiiy4OlRdQTR3n4FYBAVurqxWuwD6GnjnI1Ptlf3RPYQ
e+AjgzNvF6T80IF7ABHyxbNB0pkanYzVL7sybp/f5qbo6Uv69fr+7UsURCjMlxRXzTuKGMIxf8iI
BxND1yW64VEt6qOeuiu2LFeiBymdZdDdrmLjORaP+GZ+den/Bjn2LVjwhxeAjYoITjiKzEJsV+/o
deQoyFZBXLvxGlhUTX6Urofqp6LRuDC2QV7KVQh7wc6lGEq79WFs8gA6Q+Ydag6QXURvkPf0W1gp
eQx6LN8KmtaIYFmPcKPsYbJFtavUHtwcMBquA4lDhsPorpkWSBd7yOnkVG0mdLRHc4WBsk1B5qrg
vJv7IspESjZu8L8sU4oT7rzeOIIMFcBh8F7QT0Hnn6divpCFO2+6rDtrAYL/EiX/b41NvzsT/bBK
/u5vnf7Wr0ey73/7NKr8b1G+QpHAD7Cg/P4quYPVqn/+gSj+56O+L4/hh1BgTwS2GCCI6Zsi6Dvr
Kz9QLHIQCNB/Urv/mJzCD4Ii/FSdlsjTtIUX8a/lkVJxug9C36enwerfWR5PN86vr2uCvyAVQbgv
1nBB34eW45Ie+VDNYmPZycC8rsvyKfP5/CdSiB+VSLhjlOQhRjSuBPfxvt7NZwNurGLCfbvhYTk+
4UwjtzAdaYDuthx3GtLA3a++hd+4Yb8VA/74xrC14NSIoFQCY4x8d8MqqCthYEz5RtAZSxrEuFUG
RBGwA8RXAUhrXud3EvQzIqDkrZsI1OkQFq1PzRIAbulUcTbwLDij3ehvMMgUZ2qppgsoSNcjnUvz
J9nG79Qcv3xC+MpDxpgiWOnerXCF8MplmhG1gyLL+nUawZMNyAXAogbTcIKzmIwmDadRlMv2tW/J
+upmOT0sukD5IlzbX7Vz5ccGFhGEKazt1z/+OP3/fp1ILiAzEBj1IVSQp132VxodyNWIKdTCNw57
y0W+0nLGhtAGiRim7HwpZoHZlJr2HEjJvCEe0Xur/XmD1yz3p2wATJm6vlrm7JxScyCZdwNkBXRl
OjpYY3k3lo9ByOVuTGHNrlq/fXGaloB5O3P7x+/lW77t+0sDTBXOKkEQYkB5p/GS+QpVpwvYxrgq
OwINlfF0SiBKZqQxnk197sq4DgjbeO0wvTZ8alN4yxrAnk2NwRmEoXfj5tk+cozBHgjX5liXHvs8
03I7DOxC9AgEakQ+xqLy9BWSIMaDRaf4ptfFo2FdhugL9lkxG1xaWM6b5mSyR5OrWXh9KPuKX2Lq
7Y7Qc64mQtQ2rMw+/H/bDBqIqBD/j7oz240cybbsr/QHXCuQxvmxSfokl1yzQooXQiPnwTiTX9/L
IwuFSFV1JurxAolERmSE3J1Omtk5Z++1HYcBlov0FGnuVdtoyYdrt/Hq06Bvjpat1qsevEfMeFNq
x7bUpsXPpPD6sAYl8vzX1/LXg/vtWjpsh6bh6LjPkJ7++b7ALo9Xq1usjR4Z5XWNswYP76RdUifu
HEP/Etk0X5PUBG8L/zlCq6Etpi9bFe0bRqL+CsT4WPpSSQeST1GEDqc1RhkV4BARGc1NndTdfhy7
eD7GTbl8eMOk3w9NBAiqmMWzbuTxJUc2DHBFk2r+EmvzJUOObNsPtvY3N84v2em/fVjnvCW4YA14
FL59WFdryLbmIegwIJ9iNCxAhaQwDw3L+o3ADbVViHlQ3hXrbavc+Gg0FpIWLBfNXsd58YjnYPls
p1h7/+vv4T+sr+55kZV8AzYgDwrt3x/PIoaDVliTtYEgB5Kjrb8SSHFmz7AXH9t/lZ3xa6lyTU9K
DwY1HcDvyV41+8PkLmeUw0JuiQaa5/wUZ39Dijy/5W8X+0+v8u0pLdwstbuzj5HTUvqp0Y25XIaK
pjQz3WX715ePCuXfXsvz2KPZUc/VwrfLxy2ZNY1U1ga3gDwaolw/VlvZl2ZraHdy7lh2q3ryqKs1
jXEx3f/wr9/Af1hePUokz2FWQf/i1/Hzt+W1FhNzzoSDZNE745NOMeDPjL3+ZheWfxZBUp+5OgcH
yzprzSSuw2+1EAGKursUmb0Zrfau6WQclNpC8PB4OyPl89LruaIPP08f5+qdYaW4XvUi8tlP3DAz
UGLQtmNOn5j1LY6gCWFB3zNpv+tQT0EITKgy0pjm75AccN/IxQfH24blpD6zOP2bI/n3+4OSwDJN
9kpT987nKrR5v9/yq7kid7JbZ0NzmEhgLN++vdA4Xe1a/M2382+XjcP/eePTbQ4wuuV+uz2SNQJp
Mwhv4xR2fBEtudg72joe47YqtkYXDXsutfc3L8pR8PtTTTXNSYDjEiurY3E8+/NHnGRvyVKfog1j
/wcrRatmxG6786J5egYrQDGnz90dlu8DHIUXx6uyrTMt8jWLIYb1WnLk7EM3xXUwCds3XUP3lcXt
3CQjphwIIH2o9CWS3Us96sz7ptoH8NL5EJqlr4oey+E0H6x8pH3vdICG8KbgM8eInC4JVAkLr2Cq
LdqW6aR15dbMY+NWu2ykKLbOPCW+F0GJM5rydlCJ51cqbniA7mjvBCz6h9x07zHyDNer/Wo260el
rd11RXs6rCwrfu5qMVwLZobbiS5/GK2Z7pdwCn2GXNmugFeg8esie1lWoQMNSAli9eZu/JDMcHdm
YnqQtHrDfJlTiQ1HKx+aZrxp3d3A50yzWH9nPgOYDNenD0Wt/OkAP1sZB1hkTFCPbarUa/ZzYZXI
5tvyhGggv9FnG0mBzMDbQ2Fhz20H+Qm0w70qS6fbpnqsM/bJpyhAWgRucrKdMozYpX4S+TBt0o7s
TNyNQVPY91aTIl1QmJL8CoET7kAYJUecIeZtlIwqcNJlMxvaxqvnfY33Fa6SAUOCviYKwNkMobh5
X8tkXObT8MC44jPjdPmUSjyNxoptDP7Qj5JyryvnbtsN/XgVSaU/qSwzbsccPIG/NHXJzyoon0np
w1+ubktvfZrjwb0acwcjXdNCUxlicE25O9uBjpf3ugX/s9MZL970xLUAoeJrG9rzXChK4i937L1d
vEYdSTxuc9sVrv5cqab4MaXGrsrgNW7TbHZvcDg2tyIvMMrMsZZgO5ZqAa844r2O1/7WiJbhsZEA
OhVu4gcQF82uIWXvJBoV72FAirucg9ZpyIBQZ5rUQmCMDq9sN6doFcMmn2aqYtPVX0Wkt4caFsxJ
to0KE769/ZqV/W0yFG/wHpe37PwJJw0DfRuNN1ps7tb6ga4WBXS5XKtouYqE0+0yLZuQSeb1OxB5
ZDA0j3xINikHcBcXu8r1C+EUa9j3qg9XJrA+LmUL1/uUnHJVr6HWMB3B1lZ94bGct4JZ+EXJJPK6
stzPRFkvFeYizwf/AK6wxTXxwwGcujfjSfjYogrOdDNKhy5ZD8hdAXa08Y+26X7QbR4yhnZ6+1bU
ev8Uu7m9Lz1V7jxjQeEaVTKg8uku27LFJOm19j5rQRC0wo03lsGb0jW7ejLbSlylvKuQaDX+cF7d
scLOewX16oBzFwqkXcU7SBGXUTd+GlZ8xK9r0w730G9UmjEHWZrwB0Sc3I+oHjbjPIptbrjuddTh
cAZr4d4bw/LWuVZ9V7STfY3uDvlCWTGehkFwQJZxszaacTskJd+JxFUdJt3E7BQvMA9Vn2wTb0Ia
jNhklnVz6WQMrXIDOV28JJCDojV57I2k5vea9ahpcEqtGmLUQqjyFgzYwgahwC7oCWpu8jtQcljT
KV2jAk97PV1htyo3AmN9mBTZjnb1i0rKbstIvApNgZCm19oQ5dsYzkTBn+ocod4iZvkOMw4Tlgvh
XmHUClM4gDdSlEwZIko7e2uU5pMRKYBERox2IkmqEE3ctUDTchdHy1EvR6bp4Ejy7IHxQMUnbvJb
Q2PmVyyp/NDWuYDuknHSd6fV3GWdZNzerlUWzq193Uo8NwBG172ajXs9mgOrMqU/DBGgHqBs1UqG
C87MN8Apx0S3wsLM38Dowi2qRnM3NTZ0JKHd13kTdsk8XlUIkeDq1ZnC8tZ0zz1D6LBRUxX9jCnP
Rj+BOLVdMtB1frO2x17v40CWBuzBPD4NK7TRXk56ABlkxQCNr9sXCv0KcJFK+FZXmVvbM+HITNEF
x456V2dZfqwNMd4IPcXjq1XVZUJ6A9SRrr4zbXWb5ORh1wVKh9Rs69e11Qj/i5z0Kapcc9NDs7hM
o/bMvCB4ugNfdKpGMmK92V13CdPgV+i6pBq52uA7NjtnKxfFc9F4+xEPMZ3SjHKwWNywi+vy0CAy
ZOm3AKq1uXaFjnnY9orFO0vb21b/go5hVL4tlu4BDR3oXz1pbuRULHd2nLtHNO/L0Vmd7KiZxkIb
uI9+VKu3PEP+asAqFvpZyqt2mE/ZC/F07sy2T3+6UJ+CxgQRNirXAciiaYc08UiJNWK222S50eDq
hjN+5hs6O/1G49NewmWyjv3YWZcR3MFNEo3ag9SS9LZI+3Oo5+ReMu9iOONl8RUmfv6r88aTcrKP
hlCGh8QqtSA983m4RTdq6N7c0kq2FWqXxXdQNGQ+GE6gAUXDuX917OWA72tjiPaiGa4tLd2UnV1d
TwXwHKzCbh/ojU2zdHCdK0PZ9V2/ptYHEfXlsyMrKwDN8rSANQjrRGP7U/24s86YIb8HgLnTUKv7
wrTLiz5XeA0Mk0ANB1sskJMucESr7oEWmgR6kPk7bpHVJgdlOM1Ww3frF/iewtUsufGjvhVNOFe2
ecgQR+Fg0H64Zu/cuPx9f5iFuK1gEl6tqfqwO6lvCGWBIIy+proHYXeC0Ld3OvMLo/lFTJLNDbwu
O5yXMQ/jKckQBHCdY7AJAcBbxISOeYVedjPGEfC7Ntq2EeYjGgSwf0ehe9cTqOxrRO3xIyWmfaa6
pvoWl7Wd+E43tifGrNGT0zr6XVn22pXsp+bCiOP5ap7n7qPDxF36o0qShwkUxo3QTOsTrZ337qZJ
dZGnabaRCX9Pj8gJae2q1f2UQ982ss4mC9aF5VV6nXOJRWIR8B3qatN6TnXXVE51SFQ2fqJltwc/
M0RzjDF47bq6QVHmIAkH3cOZJAPA5Ya1xX490v6pUQACrTWnxmSrHFT0YDY6snAdIoffTfCLF5iy
BedMZTdow2HvoZIqnmrEt88t0BgIgl2Bcq1JkijaZIOR2HDQM+8E6QBsYS6m0KAYgkASCeslVmxB
oMuLF1sOzs6zhFiAzWI1mKbSu/IK1fDmmTgj7V8zsECNUECrlVivZ8AJHJnarrlulqS7ysbsrrTX
NxMXx1CawzbBG3DRxlG8H4b1GS83D/RanmXTOf15Y603IDwrhM5sN4gUIZx77arOLSLsyyXyhKZw
h0tptDo49yHZOtimL0oBSApeaYRHOpm2UYmzGwjllt0Vm71RIjjE754dBZTcp2peUeR9rKZz507y
AR74q66Sg7vEP628e06kae7LWJS3CqDMvtMq6Cla6VwWI9zRsKjTMqw1HWVZzdz6VGpNGzqktu3L
QgBjdArJOcm1gKNYbX8vujzHGoCu1DcbiZa7StGinCGtrwDqXUDBkxxuVGTFt4U330dzaexrs6pe
ADCtDGsnzdjTWpo+xwx80Vo6arfMNYDfpnH28ENjsLBsex+gGUaarzoTbdOOwNIZzY4nGaVb39a3
bpxN+1HT45eq7nW/1Qd3AxEcQH7sXRhV3twi2mfmAehVhWOXNgcHt8KT1qZsOq6LHsdPY6sJ7Hql
ZtWwiiHos9Mv/k61KeDENqFahM3GaiOcC9a1Exf55IK1yOLu2oEpnWxMWq2bVnrl5WgmwvJTm+yB
IkucXeZpPUuuWRtQPiUots5z78XsUDA4NA0fkQLULxTs2pEWRb1DherxcA/eTqAA8s1ovQUZiCS2
rD56mo7b2ei1V55huVmMKdrng7veiFEbNrPjAYiah7Y+GJUrrrTEiNDwzqDUCuRU1y2Hjw1YB2jq
JHUwY3LTMDVM/VjG7iNAmgtZdvUbSNsUnaBK7s1R1PerBddoaHDPpaBSKOo8+9bz0KklVuHdDZiN
rqSjRT4/Mn4/L4U/S4SfKOhLZfGbuX5sM0v6mJO9RwyC/YOTk5kdDn36zsJSnJJxmh8nbUmzMHXy
eqsD2fuJ5V3xGZJ8n8SEihd9Gp/0NUbY2hJ0XmeNcWjQip1S/ZwJL2T8I22G6LoB/84DRO9lAol0
LDmw/SiJKlhBwnvFjjNP02zUiIjBLWdvr0ZnBAEzJOk1ncHxKTfpDM5iKS9qb+w8NG/A+LBdOLRT
1nbZV5zXjnbR25+TruQZ0UgahsGtegsNZqkSX0xSHiyH+hhkmdD3eUtT1q9S8qlV5lb7pJqyH11X
ti8qMzV9Y2gMDpC4rhpSiHjKHgfd8iD3LPrGJHIHWFxZUti4caldqmRMTsLWqo0Oz2o/Ru3oC0OH
S7kk7Q3bZLaFPkQAAhtxHCSLuzwJvaoeRSoI1ilcot+aNaI4rPpT7sy3TgRKwXdHaG8NH0EgIGuq
L35p2jgdGC1v8sV1yF0XilnHHLvWnUCAGkL15xQSyRyaM/yXRwTtNEw1jfMd/1u9F000b8Z1lNf6
WCKdFRx4TlErcEokUfYCT7LCeaIj0YAKZU7pnZEk/a5QBofdP/A1NdAhv42XOz4oLfSmnQVFVWns
2NSX3ezY5T43hGY8lVHUfY0Su0Mg6RxWF9IssSNRGCBK9hBBIuGLdGcJiyVvp5CTtBDXiAXg4OgL
kvPNbFnPQzmXBD24xl2xGt4+FanCJzLWuAk44Wc1T7vVYAIgVQPrwaRYClYSEvwoT71kW1YwFPoa
7K/lrG6zwaqzyMt/EnRSi0EVvrrVtyYlDrOyavzzXveYjhYkB4Gkb1LIVzrhzl9o25FQUntPF6uo
yzcLROS2a+DrBgs7LAwOBLqXzKvXHxJDzxfmcvtKWy3xwUdXL0M0IZ0lrKm/YCtkGfidzQPCbTl1
te02vouTfztao3ZJNyxmPR+xSYUj/pdQAZ27TpHenyD9ZD//wPc4k3LfMmiMdNdZuH8o3YW27hrT
MesTF7vCJCrln6lkL53y6rBozOiZkRLP1VikFHppfV+NkXsZtVacb4VrvBWSBtSZAWT2JsMT+pm7
Mwgoz+H7ristML9aRXyXLk7xMONy2Boag2Z4zvp1buUMzrN2aPEHjVW3Xaq1PyylkptGpG2/KWXd
/kD+NO4ztq8n2MJRzwqf2JkPNLW7aNcsf605Lm2mqcYf1GjxUbmDfoMyQdhwq3vyI2b4NiJAuxhV
wTwvURcSZ8EuOY/rVabrFAZUw2/SUu6B7mqMUXX+7PTxs+3Eo0YJ4BcZiQLoGOfQrQ1zi2VEBLVV
DU9tE8cX0M69S+ii6SdwADg5oCIXkh08doaSg7XvCklOiTL1M9go7YJ1bsQn+LYI4o5jfHXSmrr3
80tUiKgmBFpzYibEqUqk5f46YkXy0dKg2dWMBV2oDtqFKASm/UtECb4+WW1LQkq+wt4TTUVWigvN
YY6cGzwU1lXPGmzxsaIw7YFnYB80huPYq/XQTiaQE7W8aPwULBLCMkMKE1LZ+2WGth+7c9gu6093
oA8X77zSRAHjTteacoxnoBV8crZhn/5if2DGVW/oLhlP7E4YjRIFrStarJNA8RVwlsn8qcjd8Exu
SqpSHWFRQn/uVfOxFDPttnKAUthQ64qZ7ANDTX0URNXiBDVmeS6hbh06jrSx37BZTSjQ2ZIRPs87
u13Frta6IixbmyySeJDNqZOi2mpm6xxqR8aaz0qn3zdgod5pZWReOGXurAUimw+r3t2RRZ/cwNLx
Sw+FLDXgYFxFEfLWjPtwsRcSUFyXzBe+8R4MlzQZuqIxx7bjHevRe56E4Twlq43FZGnRtrorbhk8
W6HF3nsxZLZx5Y6DfU5CV8+jbmfHEoMW7tO62ch5nIIUDBiuAm+6mic3N+kliGXjGQnTuor66taB
6rI1x2k8to6XvsftygZMinCAPWy+ztO4eiyxMD3E8bDeCRE7T8zrybjByYWTzByUsXFjrUb6m+lG
aFb9WUeHGttoCnkPm96jnk0jCOh9c9BXWEYNyLkAg3WGSi8fq8AEneR75lymOwwU3Y5tOtMA5GAv
FDnm59BLzJjj1gKRN/WABNkCqjUgvomjfbSm/YEptLsGS4cQaNths7zrdVfbFxzva1ZTV02UXTLF
3mlN4jYtluykULNcuKrsd0mNPnmaLPtyNiuFxUoHx6iA1AHloAbqCDloo6whaaG+gctlPOpz5Fet
/JnW9itGCsu3iJsBqWiPamMna4lEG71NvxRX9oBiJo4T7a6pIeKqynAvymUqrtIuf6gSDzxtMSZf
CqHbvdOa5gPO8OiQcgTZCDXeRxIBOdTC6W4qJ20/FATxzOyk+O1xJMbZcBeJNb6317LcdfiD8M7R
Zaaha1xNCPl3lt3026GrK59hyMvgttpRiwtcFRGq8qJ1dgO2Qqh+/VdPtfKxrEQeNAJ7BSAhvKmw
akcmX3nalAeclcVG4e/aOQmMsALIUc0dbsSb1ViTh34YtivzWAOqFnkTZOjA8nw3u3I9xjCDr13I
kRZ8YywvvmAlreg/7cxIG7Y1AHTlN710sShcKyh6GDrzZgxaqyOVZ3EaxPKMlhsknvhhWtQiULS9
rDqNqRheSs/6GFwR7wYx64el6vnTLpanQWsDWMGXcu33oqG+qzHuHVuVXNP7rZkdnJOWsttaWNob
fqKJpYlyWE7lTDt/XI40wB7heNJW0JyAwUMg05Rm3zg0B6NNj3GFNLZv5+KDMKQ0yI3257rGl2iO
8ZLEaY0AV5cxovLGlWwHAqCfRQm0WunBkUsHXMqDyuL3FZMsjh7O0RJzHrTAi30bYaBfGxZwbB1j
Z3QuJyxY4D8rYA3HcszNEEMMRfswb1HMd6HmIHoPkQq/1biN7m0Vkw8cJxLZ+iSkvTWXrN8X0ABM
ei11cmGJFMmYUerWSzsiNHyN+A0ez7axqXs9/QEsKQbtaaTbli/jBrdb0+Bxsjer6y7kVHkNrQzc
FLeRMKN71WBzhtpWezvHlQewEWHsKnmhLIntqxqnadmPzpq+YhJhV3Qybqk21evsQaRrxshRNxLv
NcYyAWTLMpxAU1gmjnZKfRLExIpNL56X5bde7FjGgXF2VgRYZc4LXJpdkoAK3iGfZ1BX2PEWAlDw
7rEf2hojBNZTz1ZI2dK7DKfkPSkhrLasG9XOyFZ6mlME4Q/moe28NFUxvC41iOBfRLzW9IbSB2iK
bpq6LpBAnLbr2ssAYpfe7zOL7R6zBN2INB6pFqMGdQmBVc80ijGpyQmGwtw7F45t0cMXDv7U3mK1
Kk62BtwUHcK1kclDVzaviQawnznXtcX+HtfVtYH8s8t6rMQ61GHfjKv41uJAcsUdl7xgN1NUxMqf
uli7dBb9oyUQ4GwHavZ4oFKmS4vyy8zbjaX3c4zHO0vNz2bUzb3Pg8sTvxrqQEK8H7txfzZD1ycP
aWxgt9zoZUqzEQzZWWSjD3fs3RU7ZE6XLCP/YUMZQKXaCxPOVIHD63MdwWS1ptEF5xSvqkpgvjsR
NRN6a1QmNlOpxuume4+oiMd4aMiQTw2a1IWlTrAzbrQiv+oMEW2I/sJ37SY0Kbo6ip6pF0ptgypN
hQ7w6MNYG/1PzLawb1vIsEfwMVocjFaecfBNGQurnk23HGKWvAT6OHDYLPb2i6YPoUapQ05rXtYn
DavXvZo8nYMW/dNUEwxHrOyli4W+W0ZWXHqr81VaW21IYtv6vDhUbWXAKIvOBhzy9BpjzfM06cZt
vOKQ3Ha9sfxstDTfD5yOr0yvtwmEW3EZKsZ6HIlWvP/Z4mlXcyE05TsOlwE9mMAe2MXRtUFr6J3a
lCpkzaJTOsbASnquH1dSJI6+ibAnPlLCIbpv2x2QgWAqde1oeoJ5QTfmj/BA9u3QTFurnJ76DhE9
INZHBsg7/NLOvmCWhH+OyChtwcsXWq1FjzsTAJMZKbKupI94bYqzpZbKZORG8wtba7+qNT01ysFr
my5g4Nuwmop6YxO0BEHXzIPVTenAE9CeSIOQMpQ2OINlAyJ3KSU1PmoYAoKs9E0OOKoRNTbTHpBg
+0y0Kr1V21QHK5PqoyImBh2U5AaZQI+kfkne1H1h6XIOlN7n+xzXAM01iJJO4paP2G3h0g8067wA
Wv7K+3JAL1Z2fJuo/NQ7AyeLsUkvmJwwcpBlsZ9bD2Vri5NX+WY5rXfrnFZ7hGfTGQftyj0ZIxD4
gVkxToDm/4xVK31f9VYPKsQ193aDOZpzYZMerdVkCbOc8YZcIs8fJZG3rBviCBQAzKWravPQytGs
wFRO+WniHHMxgpbFVEyoD9O0BFIeSIkz9LLXJMyynkseCDk85R2eWNdd3U1qj+1ugsDAsY54O6dh
G5wSa2d1nKB8ilJ5RQVX+0nLVHEMlVpvq+aDtCnxCdFWBDAsxWV+PvFOq0zv0OvVJ8Mbh6AGrHuT
rSsQAj0zbjzaQU9mIp2N65H3TvBZRb1n9b5cOxlYOWRrM8MdwSwvv0TnhA3PGTk7R2o6suICB+As
tx1YpXe2kTP3r9vzZExF+g+SbZqLiClQ2OQepufUwIkPa+WKZDjrHSgQXle6emweeQY+ZTAtbPmT
IFEvGaaQHpIRagkhNk0u+uc2Tax7MgsZxzQ6t1IMtnAiZ+HOQqrl18yhzgl8XZixyNKgGjHN4oml
m5IvxEvnVnmflk2+Gwjf+6Ei1rpaMxjoTxXKNn+BYk4mnzhj8ItKZ7IUO323cerknegl+QJSNL1e
ZKdCxokikAgV/ZrAwACo0RhIUvm4UkUdZJWx4C102XLieuTbmWrlvopJvJAB8BmPjnEFseGGG4pu
Pd0kIpj77CYRejlAx2jPlYOZlPPJWxld7xqq3mFXs3iCY2i7cc9trTg+nu17U+kmB6wF8aOjtHNe
opaOWlh7hKsEgiuLZGD1LqtRj/aWU7bvMp58g5575Bj9NXjL5VBpRNCQRjS2QT+huCe+JI1uY5pF
99xd6Y+cSNTnSRpFaDvkgsTwzreEkKzXdlUXgXKgTPjRMjJ2LnTtGdVl/5jDYgkxbiva4avuHpJW
qgDZWPzpxasbNhCwN6BXl3vlqeayKqtyy25RbGyn7S4AI2KMWEGFM37Rf1XJQwDnQB1FRvUl46K4
sJZYPxDVATeMPYTYnoLoxM6EKkCjpT+sSS5e8zi2n4yOgzbpLxDWRNLRh3WS3Zxm6Vbv7U0h5+FD
eEoe/oC8OnKyC7J90stoneYb7siCI7XZvtT2mL0b3jmFMYnXe8eR4+Qv1DtwMBkfo2AI6Rr76Bv5
d06X5GGJI28IGG64c6CNfXevz2V3MvNaWSfNrcaLfgH1QY96IladWmuv0oQJOqkdN4uRkBEm7FLf
e3pSbBq7R6NyRjA5XuY8RKMhT0kDxFjqDk2bQk48zzx6eKAZYrpr8ZgAS7KUQEK1dvWVqMWjU4lP
A2nnA8Ez6q4m8X4r6jk9n2qhrJtp+qSBcr1ehth5MOZ8vBPLCOU7u51otW6lmQ3PeW13Nxasq2cR
Jf0mQ4hyNGrSHgYnGp5ZVp7tvDCuFnE+H0xlfjJyUx6rotN2RZyUN5Bz8wAiSP4xjhE+4klqQVuO
KaWKxuqAwGpPbZiSJAGOIQmQf1iEd3RqN7bu+lLGqsUWvKzyHXgL57Gu0UiA5Jx8zFJSG3GH05cF
Bxp2ZyhS3AykXpDytqOWdlmawJeWjU3fx+53reEMF80UwfC1df3Z8kBI09Acz0bftNRvabamx3Ht
jS0924yf6szbutHyQwxK5aZxVLcpPU8PRVK5R5zliGKrr4l+jT2zZxQQUHcco732nI8F+CJLtCDq
smqvbLrGuCxe3CT5QKX06dJtDWKm2Gmkb2cHiZrq7GzXqPqTANPa92yxqwiw9cslZ/FbzDApx8u4
jS8np36acZq48+qEEP8ZV+qLxtw42fDIBoNuhmPq6IdibO4X7N4ohgJHGxPc+VURWFOKAoGpEETh
mUGWO9DuKYEmxFLsV01dFIa5H7Ll0lR0vxfdZiLEj9x3Lnwjs4/RIzdrSjE5DNlPBzrfVjh4xV0n
ze8l868Hq6JirFdgWnZZ67v/WWuNcyOj+42DQ+lVJIl5RQmsbVdiZ3ZVl3aPv/SM/5UfBAwM/3w3
yL7/5vL434T/I/ENFxsiw/+/F+T/Vh//8syd0vf67bX9P0R1YqHrfvfP/esn/eEP8Yx/YALBh6Eb
bHT6L5PcH/4QT/5DMqzEcORJ9H+47f9ln9ONf5wVgZ5nEyvmaPJsJ/inP8T+h2OZPG30Wy2p8Sf0
/8Yf8isO+zcZLm5fTCG8MwpmTyNc+ZsGset4JOp0bnfJVIKkssq3qnHzDQQTPFdR22zrtfjq7bQB
lJ2/1Xqng1XjIM+Q0l/SGrWSWxF2MGPJiqb0aaR19DdC0G+o3TOoENEuBhasWVwR62wl/F0JaowR
rr88bncuj5QP4V5SdCtK0MS7HJV6NY35ZHcDT6cEqc1swP/tW/5PXpOze+XbNeINmIbHwMxwPOus
H/1NvStzvXEZvbS7KOYNGOsMLI6ERkJVok3CchoMURTBbOsvhuS8Jeu8j79+C9/EsL8uge0aeIIs
fGru2YL5+zvozFS2RVmQhTHECyHSzsOQWKcUr+Ffv85378Q/Xwgjr2aCiZTGt49qI+zraTkiW6nH
GosHOapO3zzXCh+/t5D6tNis6wrltk+/wQuwplWXyKNurepsk0CYgGjEiF7J55g27Sy1OyMHwnZ+
Lpjnzy0EgXrZtYQZIcJi7p/nxErSPaNTMYw9w/943UaDvAGDwUEJ7SpYGfuli7qD1nZuaKYquogr
4ZJ51iy7zlrJ8Yse18nkbi3XhxqH6BYE43xCpfSlk5S76cbirfpF/G+j0+p6n2NS3hmr8+Ovr9xZ
rv7ne4RHAtqDpkOTMU33m4bYWSutYMyGWceIKCrm5QU7Nck34OUiKc/kqNgjhGL0/kbaLs93/59f
2LQwZqDyBelxXkb+fGugbnIaBtfZzu04zLh9kR0cuEp7KUGUxAaBW6mzMtNrJcd12tqMuWnMO27F
F1rMclMklPFu59FU4JkydJmHhDOB7FIThlKm/wF1kYmMlFjXzV9fMyn//b3blMXkd2tEeDnfWc8a
CQQEICVIuHRZhYpQGGQpqKeMkXhhdE+b3OkJHor68oToCDkOedA5nfiz/CQqbXgq5wXI5PhgXdpI
vnxiRGHjCz60gzKFDp+RcrRd3//6ff/7d22SpgPN9QwlQM7PrvH709jLVGgUX8VuEq1Bt4lFwQUY
+MeFbu0GTevQe4EwC/l3z+d/uGDSlN7ZqKprZFX/+ZUHWUbT4LXFLhq7JgDK5CLW7ru/kaZ/cyuw
CGDyB93kIuoll8j+5uar6D4ZQhUFqT5OtXNalV+0UfL2NxfxTKj4fufaWCIk9AodpoP8tqjVZYvM
JhuLXS2LL3qWHMRsaMdnEipncZOH3BM0DaKRcNpKX/MLEFtfemyumLjJTCbeiH1n8QLdpDuBc0ts
SDJjFsFIa0s8t4SYKNIAxcWDQMX3/6g7s+W2kW3bfhF2AIn+lQBBUqI6W3Kp9IKwyhaaRJvo8fV3
gHXODVv2seJE3Jf7sHfYZYkAgWxWrjXXmBE9ALdiXhSHkcEL5YzmbUTIFGm4CO0zQEJ7tHkHfWZ9
s41ZBPQEYyKZ8WNdahuQXrm1HGoL04Pft1oPgfWqzZzf+VM7z9oxT5J614gM7+mBcmjqN1YkRPcF
IByEug2FEPf4za/ZK4KtB5BN8VVM193OMvM3hRT22FGJwquhOmqzj4kIHfcRup83ZEtYItWsuajg
tgOQz4AzGN9VQupgbAo4nIxBSyZP7dqs+Or6jymDI9B6yX2bD0jdteOU0uloiv7ZQOhCfZjVe1kk
4uLZRiSk4dMyz+iI5VYVK/zc+mrosFEV3rJhMWWvtGhhK9u2IoDP1gaZsF8ozeRBAuv301hPBA/Z
yka8Ohp9FPkbAPFuNyaw8MqS+6WTBD2m/O5Ids/JLOjupqwMPrTbTQNeWpINJMzntQ9KpT27KFJD
K1Z+4Ke42dLwEgeD1aURaxnWtyS6zE1DSA0jC7SOHbhYcDQqrfJsF83n3PAf2w2r2g7ofGXspQeC
H5ONBXpkYfJqqk59cjLojiXyRgKMA46Ar0rHXbobAGah8u72/szbLBcWS9XmDlINJ2rb4o2Emtj6
Ga8RNV6vpXwDgOgfZviIYWLxRZHF2Ts692KTEchJ1AuF7t7S9SkCAyMndMuWDAW+RmHcMM6hjmok
tYivpMGlkB6+IS9ixPJmFzd5s9GKB1Jv7S/j5iJfJR7dgrhkh3OcvNVgYuEesVrjeuJxYKrPs9vR
MS435+y1fDVJQt3hiYNt0Ig0G21etObpq2Pq9TFddHXtxO6j3hd8R8LTswMHBIQIL4bI4LZzKNwD
VOZv29hdJoaN3lBK62Iww02avXoo3iAymg+mV/gH6nCvnj6CyGSEGz1T4zJwFZJPslozPSOYEuFb
ecBd57HxCWRSMkf/ToGSEUYF/4HiGlX9keDTomfkpoJYjV3hFm1ofB49BRjZol4OTIPX3+lMl2ao
9Z0QY3qedNgNtNNkQeMxaGG8vV5unNslihmqNco19jSYNepa2EP3F/BbPxp6nfW6mZlqbtrc1DgC
7rORd+cCwtuvrXsy0BKHdkmvS9ZjhpjP47meqG7kElTtJkYAi128aahFdr5r8zt8D4au/PcFl7r9
IIr2Gck/HUxz/tY63DWVBboSGGCDK9/6mW3MG1kJqjzhAp2DWSkW9kEDBRvVHFmYYeIhchggHiLd
TQbOp2RoG0fPFpRmak+GdEt5IQuV3Dtr82wLRMPb7uTrXIRapB/ZhhVfCSd/A6UX3ws8T2kckUFG
BmavuqpBXYDf4uJ/qwoWE1MwcnFvQufZZU9dxzwmGftsj6y1kvp8aM/2QbnFa098tS1nmKGw5NHc
elmUBpvlBaT8M70gbIyDcytqB+16YT9w3oHETJ2Ns3r+umiYp3gmmAPO0v91mki3gMXJTG2/bTvo
9W4v3xCM49s2JVpYPdtWQCv6Q99wY5d30Aj/Nitx+gIOrqMaPSM+tAOj2oZNRVtRLPBBrQ1S4rll
nG2Vv8kmKfYKoQTZagbjZaXzUEsGduo91ovNiuqsED0Mf7rraIjczxrzF/dIsZ+0ld/yLO1YYKIN
KoS3M2uMPHutz2uC4zAuHPynZp2vLisxDbIEYk5C/RvvUmYwYdayeo9uAWR4x2843Ik3R6T2tyiG
FzBkQxNlNaxS8OvZbe3rMvQ2wJaPaDdgDPPx275ChyxKpS14lo79YKh4j6R1AdwBN1wCwiV/JN/m
lZ9MG8J0VpoIui0g75pBp3wWnoLEDcoqVh9v5NWYZP0ubxcY93OGFARoCKs+p6AK00s+sKUFKLqs
v5T3t3plWh0qaZgYitb1sc075D6sAPA2MZlLGdX2wARyV3l2HO5awKoN8saQ4SUcHgAl7ocJLaQW
F8sTAsf66G6KRjNl+OqzfL2MFfh5r7mXUimZH2MdqZu0FZWIkUe97Taxz7oIp9YLY9XLG8RogJpQ
5e2sEWCc1Su5o0o67PB2bCN33IwGHbqLJnwkqflu8bntYn/Zpseiqdnwlr69ZZVsrzMr7U/WRBdI
Z5cOGKcUvrKx4uY1QA4G3hSH9BthL9RNKMTj1NaPcPCT19RF70k4bWXRiGKMWnkGj9Els5fN2RvM
2edYVX00c7L6R6Nw9dks8uYaJidNdk3/GVfw5MA5J6MyRg5Ntwz0SCWqV+maWZgORhya5qofk6KF
EckxaayTLTRoxvqk7JS09ID/54Qvb2BNscZIaKGRbgc4iVsMIFN1axqpFbnWbFwhx3kdtIJypQsv
dJSxGYhp7SIsNtfrVTGdcOV79bZjXu02MiSDy/956Etse0qPvla2t1j4SJT4eRbQ593vaXrQA0yY
angmiUWMgmtvWkp23oUnNgr1PUcit+9Bxu2MtiqOoKL6PZizE3a3z4UPTw/ryXU3gs3CgW0rkKNl
psiGlCXLrZjL0x9V9XyYZQx89lpR3jCMAf65fVWA2E4wnfwOyzU90lUYh9McIy0QoNLdaZ8nC5JY
gmfNSFm0NODUNYpLGlh6mH4CB+scwfTOMXR6DKyaTGosMpRVmXnUcrqQzA7z0TFBH6A799okA02x
AHSILBKsNNDo8E6T9Eab1DWWZkiCxunJ0Kcr5RTezqM+wlKufW8cBp87CYl4yBB7OWhfUV/Sidsa
Jpag1kMic4GoTj8rzZRhlbBk6vmAcVlmaFtCm4TkXDJrt5PPKhskxSvLUjZkb8Zc+0jeiZ8MFKFh
XaXLk9lb2NS5Yg2mgh2IroT4bcq1mjy3V3wBKmldW6v+PAqWCs3onquYFEcpW/VPsqLPYCce9qvj
9gegZghp53aNJknEpG8K612uAX+9rOOWJhFass+Rsw50w+732ohkYWiwQ7ic6G3sO0PKI/LGIyvK
JmM8mLOnIIOSwVZ0RgSofOgmSPyDNU2v1NK8g6zGh9RjxMR+qXZaNbJoshVs9zl6+oNB9uHQOQbH
QnbrnU+YPRjpKzazz7okVT3a+kNH+YAyIDbzEwy1K8OgiSzTt6KZm9xXxXSmee+FA2Qb6bRPX3e6
UE+DJv/O2dOwrT202HpCj2BRw69X3uQTd+MRVaFa6Imut+V0BcR4g+5bhqPXYzVqe49mJl+bpTwT
YFDxcGdsaVrzBmrVllL2z1SWHM6NCPJ7MWW7Yi4/I4vbjyJdo14UfFds52+tKU/vdWU0f2c6z55O
AvpTpXsqLEZYUzAaYCnXBFg8UwrjPGfL9b7UZgXqUcumx7LV9F1PO1UotuRVlizg0mUaLB7rWozR
71626XyraaYYdo6/LdIlER9WHcTeXY+6ciLGFOvYkC/P6eBQ9bFIjAOyou5k+PlbpaVvCbs9CkZ8
8Sr7NjG5z8uOjsIvY4/IX9ttrCYMk1sagzjlERNwuBb73Fy0vcYN76xtz6yWuih326kFQv+MiM8G
cpeo57pk6xmnYbpLYCjvhK3zsqu+OmDfHV8tZCaJdQpUdE4vP7X4D9D7buw1vIOheKVEd5zo95dd
TvV1dc7o7Ql8a/HQ0PjGOWm4TCEYw3Nqri+l6abfFO6+AVmLkQwItQBamRMIM4wmf4njr8XU8Smq
fNtY6q90I8H9Yte7jH7Om/vezbMrDqtvJCH4VoXzCc/yg+OLhyphm+xidq4cAemWqLKttT0OiT/e
2KTtdwvNpEc3YXwOtRiDjhiKRSFpHpRflWxmfkMRjfItHWC3S8YyRjJS7kvwPIG0+yttgOo9NjAQ
xbrurZbLwwIjXrUIsDANvwMvXJI2QUSupZOB5o+sFKOdLW7gFY2V9XDZe/2ZeZpa8eOfD/7279IL
YCYF3EqIW7rzjvww5hRkk3yRBxTnHMRNErZ23z+3DUnBXC/XCIm+5FvwljFGXqNUlFjKyuaL3f7l
tc2j7kG+mtCSRVuYMbi6RmHTfZRjcq+LeQU07GpHUaghBNuGF+k03julhvrA6wmA++Tpksi8nJEg
9nyj1yR9c2Z073bvPBgSx5tJ642zQPpy5TRzeZ41g4AO7TyjgTNQDxuR85IUnK/tTSWuo4zeDmED
dIZPg/cNmo+6rpBdY26+RYFpVsNdpcBrJ158koYx/+9T5FQETAoFLqlAeEjvMlJ5kaVlwkw5xB1n
StoD4quOno+jg5YAPjBt41sqle/H/j8w3WBN+h+kqH+TFPN8ihlYzyBdI5/7c2qKHuDWzoQcDjkd
dbtOrOkRewx2IQflmdRyRTUQnRLic/ODdNXFc+9dCpTjuw+0BVKNIJf086WZ2caQQfU8eC2G6XTg
uCHyDONTNjllaNFb8jLoOXy9rbMJAdJ9PZbjZ78RB1ysjec/j+4tA/fuXngDkLZMEEQM73d54EEM
epPWkzxY2yKwJQzgmRBCIwnbK9t6yBJW1z9fcvt67y5JfpTmQ8oTOpLPd1/fROLJcTMeDl1sevui
Xbx9m/Aneoke5w5Z3ZjSZ1dNCjpxMpbHP1/9N7OZOgE34Hu8fUpZPz/8kodq9thKHeCCYnVKQieo
OFB8MMJ/81jJMgvbAXHymzIVu6mwqZJh921kFnV3OKwqn18QkN12fvH30hcf8Ufe04C2LKgP25aB
6wsItu67L9ZWKiEsKftDkuXddYzjSpT1ljqxJJDKmbxHqssVbhFkzzaiYzkXy2Gcafyh7XcIijH7
thZf/vys3wFDLrdEHdGxQQHhnft+cDX4cme+3jDHZP5SN7CG/g1+ZU6MV8ztBzyZ99AyrgdLxnUh
o0Dw3AqRP7/bQbiaE1eyO3iZe6sgBoWVhly2junr1omad8YI26PInxq9PBW6+6QyR9uN2XQzCElT
3FTsEOKuH7DUtqrsuwFv276wbYY6U9u5lER+qMeZ3twsCaY3h9IfydMUBM9gsUjl6BVbJq1eaM/O
KUmyv8y+aaKu5hVBhiOlq9XPhppJTBHHbX70UNRrOsHg+91OBn2qfZ7/43RHu9fncLUIQXr3hMTl
QRDjDEmK+UIy5HutT/YpFfnAxRYzoDMlLLaqo3TodRZ6kQdW2aOLM7ezta4LpKCoGvEvoLl3S2Vt
ZbvLxpavujr9eYSIX5/NVkmG0mo6mMo57+u5YEnmnoNhc0Agg0jMpufM7ZNxV0wleTGUm3S8Aqyc
+5L2hBEp0/Y1Sa2iM2xrAsKN+xmz00FAlVeNPmh7W6dKNG5x8yqJSjsQeTekJOQOCxWBI8yH69l7
GijDzrU9HaABHE6K0u89HcllsM4rgk2C0m6X+3Q7k1ND4uxi7iE2LZ5Tnj36XIG0IEfUiiyiYbX5
YFn9teZK+6zP8BJU7jcM0c+Dv0S724xu0h4QYFyJiQcjGAnQFJwPLvQevrd9X5cat+9S4XUF6qaf
r0QVJG4F1IBDjAFbnhP3AAZco9btq7di7chwuGSlsi27jLvQBonGu0YM/hLEJUSkqUlfBUd42hnF
2S0570mOgDxfua+3M2PF4Z389lmZ1OZN/KCOmHFqH9TyfvfSKOBRALVdVo1fKscVJ1eB0UhzSDtA
EqIABK1owgvKjqhzLueW3rLh23ZeWiTpp6FN35bS+2DF+nWBdJFFUE+Ec2T9qmYoxNC5jYFsUbfq
79BUUcUJ0CVDoVDyLh9dTfxawXJd2sV86r6moYNj+PnFmbBY4P+LhvolJtGyqZdwK0si6ET7biQ2
CVwC6rWnyAFyLrkr1/q5nmt545QE95aOc7lnLDeF1a5A8AS+Y5bkZF5uLZcQWG5gcn1AXft1H+WO
7a1Q7ELfIGj8+Y6Rr0P0m5larrZkh7rDF0WTZCAGuoF2pLL1cNSLD4qWvwn4uRojQveJUOGfvZtJ
WDJ76DNFfYhzEpstrXccxGdxzmtrPqZlTz41AWhkyOHUkZ66pgPy4ZIzJN+Ok6Oowa1ggIITDQeS
Xo4diVDTuCK1YkT0f+8bkyNm6nDsNu3+GctKsulbTqQyODgJys9R726rWWaTr93KL5YYsgfJiSoo
azM9WiutjolE/ZnF5lPR0utkaBT1GsOh2ZSiQ5S6WzAfTz6yYFKTOM0+0OHVgWch71MXoCqouaG0
zd+crOdyM/09RvxiarRLNE030c/AMPxgqf818uKxmhYCHge+LJqNn99l460YJlgsG8nSp/eypIxp
cHyJhE2TF4nlmj2QQ27mi1fS5mSzbV50NbVeOA2i2FeOmvCpJ0d0WetL+ihO2ZI15Ey7xgZyJP6+
lDZBPsCOoloL7kCZt2nOS/jzN9kG3c8BrMf6SvCK4gSSk/3u9KISixIsCLIDnAo6/AEUhAAHmBJW
OgJh8/FH9Nbyb8uL3dB0R/nBnmn9+iA9YdHTguYFrZHxXkLhe7P0YbPWB72gilYLNd8bkny/V5AJ
N1vf+lI1tMFkmLqfBoM5ggccWQWNPHa2/cmWVRsOOiiwZGWYsndRUcJ1LcRB5UXHGEYu9bPWkXy9
1B9IbRgaeb54ziG5INK3m60aYJNkz0lKHvRyy/HNWzp3bbIH1U7WF72ww0b3z2rEz8p2VkymN81L
mfhv/I+iB/0O360uLw4Yhi4H6VJu/PNL+k1k4Qmib8/wfbB8trM9xR+irpFaXZVPaX1oKVJcCgSl
tZWEDSpCTcY0XPti2oFROc261DHyIGLARY/iAY1qWxlm1QeEUwqyE7v1Q7Gtb63zaGFfTF28oQMd
9/pkoRbh6uVy+PPd/7ruwc4komDe6xxT35+Rhl5rupLEy0HzrI0pRN2EpUIiNSfBSzaqiMsPVr1f
gmeXMUV8yqGM/go29u2WfnheqdHFi5KcBElto2FuendHEzcJpq0W011e70BRaGR9QcmBaGTYyoBj
33o7E8ufvWqV3NuIWXZINT5aPN5vlJebs1k+mG+bamj79x9uzlm8PNckTYZZio6gV9zDQhgxbFXW
Ynsqf378v7ncNsVRKplwZKEs/nw5JRubFqJaHiZ7G7XA3ReNgMrqGDucHT86EXvvo2CgirSnuyg6
EbJhDPJurKZqpNpIJ8MhTVP77GejxVqokPJafkSpCXehSRKRZFXCnkEYesxsiB2GoVUA+i33r8kq
/ft8HI6OOdx1jjfvW6d3dtZE4+nEHA3JrnTXBWSGgz8tWEr1VXauTPoK4rGkurn2Fd2xfHg2Kmer
XT9kpMNP+VAZ8HNpb9Bq3B3zjRvLGcZKA63OJlAT4Ad0Mx1pX5/oY8SfTSWtdcB12bxCy6FRUZF3
uF9auMu5Jo1CJs8Q41mMmLUc0zUJjZhzcrSOGn2KleeFQ8o/pEJ7NTa1HeDR4WEhUIvKIs5DF7u4
m7geR9KGoEAGYm4APtSpw0qW5hUCVRsdmPTzELeQKqoaK6MLWqHNL61KkiWLzYPptt7Rz7gHrYkT
8rufm966S1IQyRrZYSx/sFSU2mq8DJMPKsKV9gcTzXwfqLvCIwgTiGhZlXTO6z8PLh/puq8V7PIo
KLzj5dxjFqhGqk6nsk0slSOBv2vatqIzfYJDsS7WXjTbC6zp8cQtxaF+MRDXu8qFdlKk/xQiNyMP
6eGOncEhpTRae7zo6BFigaTxWlURRQTMF7an7Zmr9ghbzjr728fndX/Xp+LRdlGbTDRQ7X17MPeD
Kit04p33QcLp/eaF7I8JxQwmjmGh0d8NdVZOejlb6WErth5UCl2ASuyfZ+/7xfNyCReFIehyHDv0
dw+YUxiNtU7iIRjIm7AeSb+OoApC2dC/3vVmy7OBY/Dni74PCrgoa6dFcMN5gmXj3QqV0NyTO6ly
o7Z22z3FLxU0aOcpu0lYVCYlPc20u1Ot9Bhghew+SGsZ72N7F4cSAmRBAE8+lYzLz6NqAYQ65lsH
5uA0GnV5yGSNwLk7z7cLxrZ/avzeO7DaPZJ2kAds78anPz+CiwLux8Docg+kyAF7eoh+N4H4j6s0
00a5QmlOlDtSC8el7Y6lZSoO4noHO2fM/CAr9e4rhpQxJqGudVvPqE6rXgAyku4apqOrgm6y8mgo
V+9Z7wSPsu2I7tImKmWqPk1Ank82OIJT06fuuW0tB1Oxqf0iElQJu7kyQAX4/b3p0oiTjlrxQfCF
EdTPwZ9LAGtBtTZNk8Q1e/PP3xGXMboT2UKjgVl1nkw1R2BFDCyx6/Hq8iV8SMX3OqT5cwf+IaDw
CH511dewMNCOrIRgoUkuIjBT6F4+XLPQpeWSea13p3kVbw1ajKM2OkjI6LoLs8R8kBvIsFHZeLWu
aUfbpoM1ur16B2d2R6ra3R7uAbRJSDP7wulXFD40v411pUVlI1YwBZhPN+kcSdV2tzTw0x7kjJtL
SfJp0WwtcOKpuF/W5suqAJWpdLiyJ3olV0svdgnIoBuRuf2zVlff/jxkzF92Wh4nSXg0lS6pYCBR
Pz9OqBpxBqfBjxKpyJ0MmgpAaJ6zZPpcYq4HhMcyorU3aC90ljgQZLyCHJAODoZ4OwOTyPF0Y4IX
PtMsr0YstWWif22XHGtomKfXfAr2qCPdhLNmVUcSSQNMm9Q54Kv3z5o3/jWnPD3QcVSkoNJZUSva
ClGfUIHm1F+GYhmicdYeSxLSoVzVR5GN9ctqBYCF0yZpI9tjAhvvBlQOJcwhnYKVz8jmjQur+SLm
iSIYN45Z++BhEF17/aGfZi2CBa4hxGnTawOf4uNiZQ2YhnjYlUVdPmXJJu/ImHZy7WwIEXauRWJq
GJhOAoIPcVyoK8bI0tc5EDEvDwbdM/aLGg7zkoJdFdbnaTSfsV8udovvfo7T7BtnHXotqU9h0a25
xwTRxk1SZd49Ts1inxZeu/fHguN4lTbAtef+4JAbOFiU/CIKkwz0kUvOfmF+kMP53dihcmGR9Gbt
+yUoXOYspUbJ2IE1/0a3gXe/zRXanYEiGcn4QRr3Ynnx0+q2Ge2YKNTI5ArffS9mLgdyVfrQs8Ii
pwpz6tDPCMvS62atjEBfyzky9Ti/xYg0vRaeYsFThF/GxEOfx5YIHs/bgGriX6MfQ8h0buLV7iID
lQ8mwRhn1MDhmNdjjuSVnw0aYsJQ8xmXKmf7EBOzmbD9re7o6RU1Yj6jXcfvRo0lwWAyBxoOhee8
0529xMoxSpHEP03gPD5R8I9DQ6TjQ5Nla2AJdBrSMkhxOTADE42jDWIuHwKF89DTH3P05cLKgd3c
TelU7lnRXXEz6SzLtLliKrHdDhXTYgvExyeaL7WwG9lm8AL1ysAWbh7ht8ss7LX8Vug1zcGqwpE0
hkaMiJlydprWWuQrHOS7MdEikJwsRq7h7FNyQUSgTIj1gw36N6OFQUIuZtOjb7vkzytN5ziFLLGX
jzyFKAdKA6CzxmZzwh+P/n0mxJ+Xtl+vR1URRTohFgd1+/0p3ZEVyuC1tqOiLAlAGmYDsjn/hObI
O+Ju3H4wG4xfA0uObZgbcuJFpu66/nZHPxySPORtWPwlVoSOydxnC8pQAyeac1ZSiKpWAOwzhNt9
0jlRUw/qqDqWC0dC6cHLE4QXPc8B6IM4mDk5B/7ARqWPvGq9tqC+uEZPKyJfBSKh+lR2LNd2tW3u
NkAge82Ke7uqvy7bMpJUdozimkHnGMVX9IvYgjmoQnNMg8OE3ORjDRXstDreDZQbGVFleGtrqF/r
ZL9Jt/gqUu5d0/s5Wrx4vSavJfbGMJNYqdVjtzLWDY2V/7K10kOuAuUl6TOKMnMPLmp9MBD5ohFh
Nvk+u2TKELyu00K/nnqrP2BBy25aSsTgDXGJzNhnhnJYd/o2V4Fl5Mh6huUVPC4yp5FxvrYMcalU
d0RZzN4D+SbsZNN+yfBvjXhuJnhHbqhx3Tok47KGvpZSBVja+b/+tWC8Z8ugRcoF3Y1D80Rnt5ja
YEZasFu2XTdPBe62GWgrRcyDOmwiHujnlYc4d6e0170bo6WAPxT81e8ToJsuM7RK+RE9IYKoYlxV
uhrxN5pv+lqTTkE2REVU9THdu9vX1Gwjvx21dQ2b0egwbqmdAz1K/kmUGc+usL1DsTpPzuL+U6LX
DWRhiROzczzTUwPNaWLWJPbiHcaWJmcvI4y+THff4fGhNOUKGrtAg3MxJGOef+qbPYd2Xsdldv2/
7uj8/8ney8ARkMTedlz5n5s6n/oegy+Z0sX5YxPnD7/7bxunZ/xHt4Tn8YmbBYuxZUz+beN03f/Y
VAGQsxguzUz2/23iNI3/WLQskt2mgGrSysmN/LfJl/cf/mEL6V2yjs72W//t3Xr/7xb5r2nt7+3z
HHeL6n7YSpFcmJfEJT0sFpXa94XhNF4aZZuOOKB5LosDPhbTGug2vt70ctlfuyUWDzQw17u2kTqs
nxUEK9AGR6Dj7fposkG++xQsAzniZxPnA9zs5mlAClONYH9cTu0hQo7iRDPg+JpmQ3/SczATu7xH
YEY0Tu5jN3r2eoLS6UkkiZn+Kcb4NKog1N0JDAbh9FrAfKqBu3A2T6jcGXCSktNRqxr1PVHjEpAd
wHLHLzM/LHzDu8XGKTsn1JX2i8izUHMR55UCE1SrL7N91+fedU4nAE0iq4JfkmuHNDf9b3npgJaw
W6wrSMJZh3oZ9M+AkbI72TgtaRPhhiVt+JCC+mm9AkcuQt1HzipWlw4Ys0jqbJcK9RVzA250SiDF
l15rlWCpFjkFqTXCE7MH72Eq8iR02qa+p5OledUJmoAQ6GdrdV56MDQgBKkLW8URN0aCZvd6tZeH
VOMkYFvDvVsheubNkZbCGRva1QGnI3UCYAtcscbSuyCfUjY3jTdP8GdwO3vsyekhaC/GGEMEKyNs
ya+VnKlVeKUVwljqsXUFtYeZ1OKXu95XSFirQdRfNVNbbhal4hc/n+1TDhXzfu2MAZCm0JzHwgJ5
AUK0O86OBj8nTWnyIYhPwsXrSecK35Anp5zd49i1gG6SYXwaqd8aIDxsIJTzyvHH1LY+KU871aLV
/ukgdgWDtKlrMdLoYQAe89dUOFALxEAOKUkBS5DKXvaxVWbfMgeak86oPPppTfIbCnV10MEzvoy2
cO5ctjjY33r+qpr6795bXGhVq3sA1ys/ldIa77vFdb6QRyt2+JTr5ypr3XNeDEnYGk4aqm4+x/g1
nEd9riLVmtrR18nOxoklHlxtc+Oes7LGf0gyoiEylzsjHm49YLc3xWx15IjBFAaGWxrnZVX1smPp
d7/0rkhFAAUyPdVttnyes2Q+lVNn3AujGKw9+OLxKyeV6Qr7yC331OWHUa79y0Qr3znGYvxI1cx8
7HRPS6ER1hNMqly9FE7cqkDma9cGHJdAONEAUIA3najCoHlmz3OBiuCeNHFeiCcyiWQIZ8ISjctU
tjPdj45TfrFqTU1o1HgVrUQICc2OrAu0MLO+XhMA2CZe71duLqC5Zzo+Di59ImzhIrvNUzZHb7WK
+6lf+/NIrf5+NqBS7oRrL5/9tTauLNl3/c5qjfof3RfJnd4vNO4KA1uXkaMxYndX32TwrnZdghYa
OEhMtcFFq/xOrGZ1E4+rvO8UmI4+nqs9jJMiNDzqgq4LaujQa1Pz4AGTuPNcqzmn0FgI/Xq4gB3V
9MizAbvCcSiys8hjEbn14pwN5L3Xuurp+jJFf670ZrpJy6J8sZtiWqly1pA3xfLUIO2m7bUx40dD
leLVECslyolKH2p59dmumjnMrLEiI0gSxM0M5taykTfipJgeIDbMD3iDTnBMa7p86cN1Q5bUveEC
wmt1dXRrmpKgKuqE/zZEErzP7g3HL+8z27W/tJoD6drT6++TSdczcJNaHOPV0z67yyAAHwv7ixHT
ExsYxEjXoGMIYRCVXpOqYkhXpvlW0doW1saEMhIyeKg1s/qSpUPGoJADBDJOB3vTwJsit3zjIHKZ
RnqXgqxeky5oLZVDKqZU/dlyS9znUg8aNuek5bSZXpyTMlsPCzjKAy4EiMlytYYJTvAnKK/+c6Vt
mblODJ9aX8X3/DUmgTS5z9kE8K9MVIp8uWpvBY35t0R8FSXIfowsQ5QvFF/9F98ry/vBGbODQCAc
zitySklQi0RXmXTbaa44Kbmd91oyDgHdBSlltAKwyIiMnQ5OdbJWo7xv2hkckMz+oWrnBU7VXTWp
Yo1nVyvj+qUxV3zol8H9lLQZLJB5OXlIdx7bvBi/kyCeQkeZ86EHngEwdBCtsXcWcOcU1FJAUAoB
eqQtppMEvTKbc+Nq/ZbEoStroAOs8BBixLqojjaHkF2Z2TvLfFboRewh026MejyC8KZenCU3s6Y4
Ich5byx4Xpd52R79plT7XhlowueiavYKgwhg6KRDiyuJlTlgPQ8QekrZwAtECoaQFsDilEIn4rsY
CXj/GQZ0qtQLpVVW5oFUaeBN5txQbLOnz6pbl3CwxLoX7WRHlV+On/B0oBEKca1/RKy27EsyjwmG
Q/5uyj+5q8a4of54r3fsZ81gSnxoRfPaetC354bHUzHmH0uwz4xYrCJT5B3hUsdNaHQVLieTOKA/
Wo/OOK/Y24riGYjnN8mmVZTx15T2xONUYqrsVdqx55DawxuFvxyfMEKtg9nSzE9kWvCDyWv9s7WM
nbdT8F3vUkrDsLI8Uuk7O9Wt0KlmIyqHTKRorrS3OVbOlSFq9YX50Z5drxmOJjLBTbFVfyv7cjx6
onGvetGsX1VKMkdPq/tYGvQdFMu6RxgZf+YFlDxTQbtYK5X31RNUga2uTW+NZM5DfhDkYjcbhwbV
431hVvq5yzIQdaM+7sc0ach7aajmo4lE/1E46ABYnHRqtBoQpVjTqD5BPGh3yqQslCXelO0ND/uK
g1NlIP2sSvsEYzLJ9lhqjsdqngdAe13lFAfNr+pPxBdZdVMknAlCrSzSdMcyEKQnHVYZSoe2zac7
f57VFTTF4iHuzex7yYpDo6XlTAECQZoVsNJ5Mssy3+eEu4GHGvmxc8ciAgpH861Hf9GxJEsVmbkg
H1hn+h42B+QcT2RHvcxInrlT86mbpjto2LuqQdwzq+6k0LWEw0wTjUfPFsJt2KUdqcNAddP8bcrm
+W1qxLcus9WLW4xfnWajIttWUt/5WuIch3WAr+ZmWVDV5nR2TbrB20anxdYCh1fHEITdLi3pXWF7
otPGvDJb71GsU3ndAW/dCzog6P2CRZJ2kKqLBk8xu7CrKO2G7DqvKijhRgybuJ60z71E1jn9H/LO
ZDly5NzSryLTHmWYHMPitlnHHEEySEYwOeQGxiSZmAcHHIPj6fsDr2RdUndLtxe9alNtZFmVyYzB
4f/5z/mOsDykm8q78zIdfQaOdHZ8R4ldJbPD29CXT1RgeHepE2AsL5Np382D2hkZI7tH0PGKBbG9
dSoenevMXii2LkHalT2E8YntJpBwjHdH9vjyl5UN0zZgQfZQpi3dLGPtYyDnwVl3mTj3NbkXo4ic
LSB0mtAKpyejAqBhlaTpRB1LwYaFmrYlqpOOPp4BM9lloB+JI+QjDdRh7d74QTts8TbSITF51jVS
IX2kmFPvesMGTabdHJzhaD2rFntZY3fOIfeG8ZgWUf3gU2pjrXpvtltKv430VYDsPkgs9xfTcdRm
Afreu2nlY6uZ3WcedAXfvzZgOoDlvnVhHZ+gKgYHP1I9Rwu8+qCiM83rBDRFdJu9pypzKzG/HeYc
7lQoNdEzZOJjNTTWxoXmxKNGV9WK28BSA1NNt52pHoXZgTBqzFt2GRl2jPbFYPDGD5GcBw3rbaCE
zolr8cMhX7HyEKI2ac3Q0uDTZ1tjTieqY/Bd47+kf8FNxy2MXrX2+tLARNj1KBElpoWLmQvvyXRn
AW5MRfwNJjSDiGDnnybLv81tfwEJ/FCnler+468YAP7NnPZPihKmojkbzTQ5TEv3PAusfGMMoX9i
pQyoSyBZZtVo/JChPT0FlhW+6mBo7gkDxTeBtuVblI4ZjRZc8Knns+N90uvmaaKFcWcKgyIjP0/B
Z4fGQzW09IHIAEc+F1r45WRduEoY5NhecYUZBpeaCnC3TYCmGXx3y0L3JkB/+Igp6NhgXKrvjaxg
39R6z73sFhpcI7aRDK1Xu+/9G4UZe50tZHn2knxp2SCf3QIxsxCUem7I3AEmT3z/Jzf1eC9sYuG0
ZbwD63voVX91uaFgBGSLjCdIA9hO9OPQV7eU681kc3KfG3hAYbVptWHMVJok3g6++MyxHbfi01YS
xrThguVd65JL4dK/U7/MACjtTZMGQCzbxBtugSJqmm+47a4A53mPSLvDfVfMyPgTx8EdUVn7S1Cn
/tlget00ruFvR5a3l3rOaWYHf05TASaKLVgj78ZVvXHARBVtumyu5doO+nQmvG9OX0M3vVLbJiE/
iHTntmVBnFpC9I+ZnbxGOCunndO7aBQBDMmyxQzSi3km4DN0W9ea0/s5r3hCJ5V9iphfH1KzxSvn
TEN64YseHomPjUdI/8MR3bFYWanufjeJ4ipYjuP0RPsbW6ee+8IINrfq/XVgGfWtvdyzh+8rd/F9
/YZpZ9zwFOZSDiO02/JC2jtKIoCIm2OS3DvLTd75vtTDdbVO1vdN38zwrfTL/X80AnUbLjNBvkwH
gDip6CsGG0Gaje19l40WWmjYPZXLgNF+zxoeNzMOo2UEcb6nEWCl5XO5jCjl97QSLYPL2CY8rL0F
mpAsSqvTSwPOE/aX8HvkCb7HH8tvq+agpD+BUfas09SKcKvdhpaLNueDGxKDhKlr+e9NhfMaLg64
hGpQD+7UZnvKN9Ang2XemuV8bVrX2xRGczFgTh8agxeMZqT6UvaWu65TbsoLoNYAO5DOJ3+CkEiS
Ilm5bYQXpM96YlgB1zCIBGT1k9i0XmwpBFtGB9xnMPrPkveAhfwyMubL8Jh/z5E51uq7JFcoBQyZ
Lkz9NcA4Jk/vewoNl4G0oVNyL5chtV/G1d7y4lt8V7dYEhO+ugy15TLe8kMugy4jb7sMv8UyBnvL
QBwso7Ew4uCtckEYd1lOjp4Bul9GaUT06ic45moffE/a8zJ0J8v4HS6DuP6eyYEKOpQ2MqgPy8iu
luF9WsZ49T3Rt8twXy1j/rwM/BmHdBkhSSuETMJl38pAvogE/SIXiEU4sOnO2fzrE9X9p+2xa7kw
0FzLW9JkbJH/2YHb0frLkCCNvVaBe6ry9Khs+EtC0+Zq29zTbTIeD6arDGtFyxDZ/rQX+8H2rbcO
TGC1bms//tRDP57KwtU3RmB1DwFq3isXg/rZCZpbmkcRds1wpk/VGS9tqdgwlUaT854uvVva1/nB
VAydC97F8jesBv1TF8RVvVWanwqu2MDNKpqr93buqRgslUe/6rwcZPn3mZZ9n28wcDnr3O9zL1mO
wHA5DP/1C/a9/fxflUIu07CL2BF/e3X/tNMI2y7W7oTgXK786/zqvMp341VexnP3CA26ujeKf2PJ
/rbW/dOfyMIm9C3afDkqv9eAf/oTRwSWEmhitB+8IKK/skvVunUzfc6nlOZAbtLNTaulon40zpNf
liDcSllJ/nu2BJUZGmrlDuMhJAzihGrazpHDM9yuG9/csysxXjrVeE/YY3jUgUwF8AtTDISdosTh
MEmiIE6J+9eDHHDkJsP5hJyy8nyieljx9gPXT8SGMtsV7FV2uhvlzVLS99Mbs+jYjVFxHCQyPnQT
40eZju1tr6r8EVIk6NQCFMDNwIX4msBbfac2hyQOJWsjKJu0fXZjZzm/wIO8fL+N/z+r9ZgCl6DH
/1mpf+ir7P3Xn0X6v/0n/ynQ+94fS8M3hkaHjR1GqP8p0Dt/BBjCwVl5mAIZt7BIUdiukv/4q2P/
IZDt2T0HAknfRrz/u0If/rFkCU3+QyRVFH/7/0ahJwfxTzc/Ii2ewNGEF1Hwz7IL+PMuMY4B7KeV
Xe37fugOLV73dy7PDWB4J3pwqOgF8mzSiGS49Q3QoGQlsKsyPQTZTWiyD+9Jaj0HDN+fSLoV6o1v
7KDquayxs+kGK2eyhZbtrVohohOnOOUI0/zu9e5DjXLu9JR1e1N5Yxhc3UfWEiu/xuUA/+PsIKEh
CaXP3C4+I7fHXiDKU941cs91yprpdM6nnWy4UwDuSelW860fhUhJcsg8KU7O7FZ30FPn+wpx9INi
DWhDJJN+0WqaHPjzxvsmZP1tu0ZM/4Tnxs82Cfs11VPN2tV9SmFtlP+kOabAP82fGpUOhQ55WjSf
g+kMR1fW8QtprvFoMBtufM/iClWV7N7z+p1WcnXK0FSOYxtM90yBAX0Ty8HRdTX12HC1+4ekmKaD
kXvVTR2P/UWXnZjQipAOEpXZPzTbgphY2DWlZuPcJe64orcKr3DpP9huNfxAyo+/ZJHCQ/FG97E0
WZKAXA0f0kDSU9vS/0JRYnrFMEYvg62fM3+QD4lIrauTS0EeDZivKqP0dkiC6nmMJnOfmiajc0dz
Fx8NEFMye4etnJ7R4ZIRUC63/1U9+sOVouvy7DfJVwSZC7tT3mNi8eSrl+LfMVzdfEBt/K0zHczc
xaeXhHICLmenvsfunzaW9TiAXN9iTskfMn8Muf9Pza1FS8UNB6NDo8tcfLK0oH4hb5fGQnTfs64c
40ynLFZlznbx0YieIBRgC9p78BjiHOOBabrReSxocmEeLNcK6/hi9LbvpPa/SEBb9quT8SebOMqv
nVHWp0JgeAY+4ws6tvtmO8c6pqOetqN5xZsAxNir8zPbHFApdI79sOfCuqctol3Hbi1fLOSsc7EA
RGKToiwGomETc5leEwqAY27xBq3Ic4V35biQR5K6oaU6iSCecwNcFYb3ux/d4Kx6X21xJYU7TyEO
JrU9HRXrtrMX+j9iEJPcIgU11mAZdp1u/acQePeugb/57iVUqHhdyqZMeAZ9h3lsbbMWz7qkqWc3
V4axnjQ7FUObcuOBptq6M9eFONUS6wfdQ7YECFwQcz+Ws39fAV4tHZraQTY2d1EQuYCDAnxTeFH1
1Oxnknv0xq3aLAINRjnGaNe/RKL3llvQjSKWxU9v5o/N5KW7xoDVn3fgbqwcWLLVens7SqubwDaD
txwk5cB0D0eD9t3x4lXNm+tBe50pUJ67267yPzLA/g9zlAfchVt3qW6JOHyW37FsA2eR7gs8mJex
cy8BAwgeKfBqksoDet5TtXJG+C5Ryk6BRcqnI+pzCxEOYDJdm1bvGZfaa/oXwtE2Y12OWZXAJGud
DN6HrqwbM4vVqe4cd9urxv9SQR7tvNpz7tqeFouEzPU2Sv3wSlKXV3VyIdvocMLvQm9pLep5x+d4
qXLRI5y+uZleYnCkR9jzyRZIE8s9069Pk89yxydCtB8oijjmtaBdw+o679jRUkLCKJofgph4RewT
pI+cGGZ9pJfie95tnYsEZwbCjGUkcFBCWWyNyEdP0b27t3tCjWCFnF9NZjE46rzWt6o1LUAUajqZ
FA696MqY1wMdzLcqHIeTKafqBHoE/wrEo1+jqNTNmICbCcLcvPAlR4JOE+j9xbiQ7iZ7dH5Q3Obb
a24jzTavJtA3kZsE547pK9gmKTsRqk8p/Yq8+HMKyx/OKOW2IetlFJQr80IcCrf2CX1V4nWojMe+
G2FI8DePMBgMKRfiQQsup7hvX9u4nLdlgast04qNZJ0tEluBnpjh6do6bUKQIez5/ist1l3KlkRV
wnzo/GKbmwgcIFzWRhUNZDj92z4TtEM7CeO8494wQMN4o3CzmofpRtQ8u7G/uOqaGB4aRj9+AvzJ
warE1iaKBsrG0sfMoeM1z4wJUWho1yn+7p2qx3nvwMjfO4ITnJ3cvJ4iBDMMr8NXGKtHPLA/MvqZ
KJDgN1hbeaNfmRdRhOKozMQBY6hLF6wbse6EqEMd114t9trZjPTPlNapi+kVww2/O3r/cIiG+E3l
nPpF+uRAybPLeFsblJeXRVyyk4a0Igpq6oiuJoB7zOxE4M89+pkn1xF/8xdRhs5b52TjJpVBfuQp
QUlT1Fzpi2rp06XIam0NwxivyqRqXgGQ04TnaXXvl7q5qQ1ffZVoOaxHp+UxqIHG5CVpA+GFMLa6
8NJ5qbUqCZB4Zk9cdjijJ9z0YzafrTK+q9sELCzflHVETQw1kjIlXhdlHKqTZZ4MKePV6HS3zqTX
5WQPKxqHLcgszr5mC95i0VpRku1QLkUEeGPR8tcuNZQTg5LtBjGr6ezL6nQodh7B8XlVdHZ7deJR
3jbBlz854+/U19FZUthLJ5Cwb4RCSNwPIz7gTV2P6n3mMQQdygw2zWQWD1aeNAxZHt6kDU7WGeNo
oJ5yvMTGJtQ5qe6llZpUg6k2Gv8ZG/Uu2QhVUoOV2tp85uihs532y30nK2iTth73rGyszUz75gby
WLbWVuJhmE7Y3AZsf/ZerOlCc5LuiaohHtIyuA8MQZVMGRjPlEjR4F1zRYnN5qtopumpKf0Cnd7H
xOwWPL0dpwwfAxeGvD881NVQbmnrOau03eF8oIzK6V9Jm/9o55KdeZU7+KvCmvVMpXc89sK7KiqT
dKvNwn/NBE12NdcKtuwfWeLunTo+zF16o1L/MCpcT+PoVjEx7jIu+WbVJasMDowu29aZoLbVlIda
9A/aMC+5mXzwQHse24GyaXcvoXafaT6UuxioxtpjiF8J+II8d7mFRQmMVQ+UBkUSd03nLpR9PAZ0
F8pzRHl4IaI4gavld0trXH+OEVBXfiNHi60iOYEMh+4Tx2/AuhwNHmXAcLdc4aujZXHrRMM16zyl
G7lDjBxG5yCJOlOIEOhrnYF9AZolHixWMaLMPt2YC2w5uf1Nzxu9lkWPat/VJ5CXxqoTdFCLzqah
q3HCExqn2hBDmg6UzZuQj433THvNQYO0vR0DzSM6omNL+XW7gn4+beqZkBCTnvXA9VueAn+wD009
xicZUfFnTDS6ZZP/PEScf/aQJg44NUCDvlLBpZVBcx/CaNvTU/0eFAB6RNg2JFpp7Jt87yiNVLMJ
Ua+4597lUItNasOLoxsTVTzPaGawjBeRlsFrVY7GNqWT60fltpvSo0mXtyOFJcFL9wVesNxyo/Qe
sezH6ymrTMFoSaGHJ/MCSQyCEBmWA1FKjxe1jG+j2Gge/ICHVFwXGyAd/QuKobwVaUDlRlpbmxzc
EPs10kMcPA58NIBelFfLls8OPYKJLqM1pBhj5/k5MVHhCsTiPvpR6UQ+mrFNDyT9xRenbZyzl9IB
wR1svIDzrV7amBIkpxyBqQqhL7ZRkpFNVfFZlxYsrdSrfodNE+0nusVRLLlBN37m3kJ3mbEHGlX5
jrSY3ELdoRPHGgP7pjZ1eo1jbnkrw5Ppc2cWPDJY9GzsPqKGGNTCPnZK82z5UJ36IYb/nHTdMZpp
+jAp6v5ZsTGGA+nbRJfG8tOVfXg2gkY8a5Jfq16R9PGcvnsLOxlfclbE13qc7NMI2oZHnpUOvPQw
lhomgS3fGLy23fJwrZLHLnN3M9w9Lmxd99wnkXswumk8+7Bl194oiZV1qruBBeqjX0RfI+Z3azVT
l7erCs3VbXKiXY5/882aWofSu9K5jDPRIVRqeQNECIdp4YmDVkL8ZGSV25nY51ejInsTMgAeEx3U
916cpufBStIDqygu5JQsnmq2dzw1yL2hXwYWG6QHWtcrdhzczIM0JEZNJydlJyHO4rm9L83EJpwN
MWPwVXkK5pyet8YOj4q8wa0gPPebvyiOE7rpbnKfVN2qUBRWsEL6LaL5Q5V0AQVmG+OeDuINGylK
6kPohe5AgKQsqugmSuLzQD25lFZ4ZzeanGwgwFyB9X1JjUxvxrl4g8c3AyrL/LsGAnMp5mxXEQtd
13Y33ixDPvWD1ZccAa4HJfWdKsRG1CbhptEye06IvAHdmax4k/Cdg0TmUQ0CqHLT9611ywYlX0vb
rn6wbKW7vDaH59gUHgBA85rRLbOjwAVv5t7KYV8DWXjMRm/jxyOHi+ZKbpo7I7b0WUco/iwWEOr1
dJ+53S8+ntMqm8qMrR5ZE6HB2UrkamZutrztbDmkes2qWZNG5iNLJYpqM+++p2xuTsxzzPm5BUVN
4J3dDaZviLY4nW34aJTEBllZkD1O28ehoRfYTDqJGyukwlJkJT15XXayhqZayaEM7ntSbmwsMQRU
Ir6jEQk4CbfR+JROvTWuCpujPQEwaG+smlXXCm/uiw0ccHKDtSsL7HxFXcTrujHyNRffA2zhPAio
94yHEak3C9j0GtNw7URWvZUUaHoQO63og2XbbADC9KmeBeZJEh4k8GPZWsZlcgWL+GPrDlAQVWIq
rpliONdlXp0zpNOfPAHbc2MUjLmYONZVlrOxxp08xfiTw9femaNn28JVJQfmlhVuCebTssLUUZHF
2HtlqPZUCHgXyBP5SSuvPwpdi4szue6+H+z2AwBpaG48TDJvsDvVx1SWM103DV/GgcOTl4b8CjuQ
o+KHPIDi06vBo4AtrTu1YCvdV2bp8Xno0/KqWERS2Q3XILGqGruu2d47vKePdmnzw8yBeo7t8asp
MnvLJJSeEnOw7jXLnlM/RfAEHGdANxCyQHg1rHuetta2dFmhc/soET6NWyNjSY5nON75XCwofpCU
8hRwBlZ2KtB45oyvLUxm/+oXE2WdhPi5cNflnUmhn93OwdqMBSfWEKcHD7b0KcR5sA4VYCgvf28x
Rs06NegTSj/xJdAcINu7xYCzNvUkG9ZPLx3DT8B3GAesvgM58rOWlXFKM9ps/59Imvuv+vxefnX/
3DuzSKcfNSiWNAYr/N++fxn37OZdvf/D/9lWigDQY//V6stX1xfq777b5d/8r/7iX76+f5cn3Xz9
x1/fP8sUD1in2vRD/VmetEz+x07iX4ma/73tq/eP5L34y0P7/vnVJf/73+A/Jc7Q/8Ol9AXciGML
i5Y1bMB/q5KxUCtJKYQCNfMfTMh2+Ad5Ho9/m3UHeQ2blfTfJU7vD48wJ7gUgpbwguDO/P3F+C+Y
kHE8/6PECQMFk5GgsYYiikAQvv5HiVPGJXMmoZhjm3Jw4+jo8nu/E73aOFGvNENCX2QHHgFNzz2x
TSitDqpebmo/sY/k8rOtZ9kt5WK4F+8sRMd+NUycVqxduvRtTpuQtrcAgv/WoMD+NNceoH3RogbA
E0C4q4Uo08OiiL15Be4erHFp1a5IE8XkeOOyo/iWv8FzNxLpsJQ/mqugGbamHvE9pIH7q5l1nrPj
dtFziOapYlPZMW3H8xiOj6HVZ+lhonVvXtuTqe2DnLKWKpOZ5bIxoNk+OAhS1DQ3Deh5Laz4rjId
95GcWROtcsmWfVmBN2ItDUn1phOU5u8kNet5K2M8dhvXNdxLxd2hwLVdxq+S/giYdkGkPxzPUA9N
VrB5nsqqXwcsb3tWyu7wnmTddBSBYJSggSt9QwRGX45oh4PEa5qP0+i1m7G0Pa7dCqpyRWZuxVrU
5rwGlv6kPFu/gq+hGb6abVrZyRelBzvwMSk7MxrNilrbkj74znfu7NIa78ZpNpAOC65xs5vOZydl
YXq1ychYGOa0jHduyD38ZVCVPGpJi/G2CE28n3MV23KvJ7aixaqI+UIdZdcJ8572xbHJt3J2unCX
wWEPnjrw9EseCrpU5DXNq92BuOyowePFSo69YnWnqmbc8tugY4aupFcyKPW9RYkBkqKfcNTGfsDD
mol5XGdjJjdWVNFJyUL1olLzd6al3lbsZdcjOYtjbUCnwKJDeSkt0XQFdHo98IA/Y3dJVqWDt0/P
LrJgbmnopeDPaXVFDd44Ye9fATscx8awaFYxopA6zL7cull0JdoVn51ieLEbh2SlB4WJzwf6jvhE
78T+gt17iivUGbPciy601wtDeYtzrbqLbac6eXxsLqXTGEcPc9U6c+i1LKRkf+eWSxVTc0Imuk1i
w0V0p6ZljoI7ApLdHeMnWMqhlLdMpD7vqpt8ukNX7ANa3F5SJeh1dniu81hkYx6ypzbChIFj6OL7
PGj8rVP09YWubGS8aoIPlot5O+NVXoCWZvQjLqZrrqgx1SqPj7rHWSt9vz01HvNRGtbRhmnfWLl1
RmtU5lxlbeUEtmLKgGIbZS8qFtMJJbCMntZq4HmIwba/k/CpKHVLSHpnWvRP2DAfhqaFrGfOXD7g
25PeS9R9lBT04M5akZWCKMmMiCJi7wdM07EeLq5J4NL0jWtVNV99z6UXvttKRODxC6UUV4vOv1eK
b1kcGIBC+RXYWnn1Ck2i4TByntyBz78uDcbP6LOwkr3VV+EDSR/zq81QWBD9b/AZ9Qwn3C3NEEcR
7s7fPhJeD8BpLUeDd75xyrVR5suNCKPAXGDLjSNBkxQrH/qjCD/OFLzfZgm1xVVXFmzcKQIdfXqh
Cy3mV4Ofe5dl0Uwu1JV7B9noLsC0gkRojNdc1FdPRRnCesm62CyGHRQfGkaRRzEBT9Vj26UdjmSa
FUFRzWcMkb270eXEfc6KmGMBRfQbL7Mdc+0uMoIupMH9NmKHkWaKYl8nGs8hroqth7loGyZCfCjZ
/m6kQ2loH8jT5EXOLrHGcEuoOF17+VA+iBAmRqw6+zRBpv1VN1WFQSnDWxqjcT64ihLaYjCBNdgR
JyGaWcfKXgYvIx7yzyZHDfp3YcVviNCf1tABHDkYScSCfXMBszgsAf+8gKtrKsmzxEyOgd0NahNZ
Y+ltVFrr+45p68dYK5czDiveZnTkjLOxHaqnipZH0tuF9dnHMsxuoTxY1jZXAoaa7QFGb5d3H3i4
xWNqNEcfS4gfYcjH48zAWwVWchR9GYz3E/1hLTCNeXzuPCe/aN+snAK8hDeImyadg7t57vMHlj8c
UahV7F0yvHdrZavul+EQ0cD26r3kna4h9Oaa6Yayc7EyJb/7KvLBpLNF647j6Ot9z/mOux+htEjA
38/OMB0gf4WnUAPvCGyyZQ6tuHztI/UcZkaz8aiDxdMMyIMoHR3ZinsIKrfIdv7Ec0uRKVnVoFQZ
ZsNZHwKvXdyfOIuo7/HhUxCeCMzh0JpalLe+mwbbsMVWDPGHGkZMWKeus90jwRo5s/w3jUuee812
qpW4L3XnPHTownRF6+3stOQX04ahv5qXip7Mqu/LsKSLkd3ePZsR8VIZeI4HJ6C7uZDAuRSyXmxi
1W3MhBxNHFwTEVTrjoaaTN8MoXqvlUWLMYR0G8343GS/hoEUr2EFt7VFvlIAWthAxOkuiYnQkdS8
cNw31oSV4DpC9jAOldmn78QFYUgXkFR6H0O/UV3ssWdlh1wHfNrxHhCHDj5wiCOPlRw92SueW79h
PO6Y2Y+zvzgOddMN2yYGyo96U71memmWx2I90Tq8bluXvoSZCiCLz+a99KV1TWPx4YNKu9QJ3zwo
ev25U6KLdwYV3gb928zdR+IIbnyqhjisPgsMUa/wKMjo4+cN3T01Wwh9czPYHMpCTC/hPNHVHdIM
+o6ikb+piJTnFTOFXfHz+VKvPbAqb5YTJ+egUc45TSrvF4YIf6kYgGYSC8f4RdS0A7ONj5TqZiXY
2ZkpUBmfwpgy866OY6gPB/rbKrfD8mqzrUi22JvnvUBIXxeyF3f+lLR3fd3T7suqKmYLHMQX7Dru
XZFx3khJA7bqR0JW7pRuPc8IniRJa3qyHe+dWy0uGdBmsXUYTVmc0lEaWHyg+purrjDyy1jJEUNc
0Djp1mzz1CSAubA5XS4c3ZbDrpE7Ku2bTcyJBbkVf45cw22Kz6WKQ15OO+Ox74PRZrEpL7rOyhce
Le5XX3v9gauXsjkia3I9jczqFeM0Saigrw6NDmdOv4Cyj+0IM+zZEzDjc50759rFhR9nIfNs51hP
aemS126j+DIbNGOzbW+rKz9G/mTNM++upLx0heHOPHnBONwk0hUUVAWdf5vkFJOu21CKLaV8ePla
+03T1HBKfAt6u6nz7K1AJn7V0fh7aHrDXFtsFg6WWe1sVGxOLJGJfZ7r6WfrUFe+iiawjAyjQflO
t85wtZrCfY1QMRve0SHCrdDhAFhRTA2cLSidn3NOjxEPJeMNh092Sa0ofG86OT1Z7hKdB/qRgxCx
O+4llSUObmYOxdY1C5ulW533u9SZvY/eczM2jr3C9AevY9qKPu95rtZAK9bupPRPM2iNM4TPkraj
KHNCLH1RfmMQWbtzsaNTOm8Pn2aJw5LvXBe8kBhuFUsnRKCbOrdjJg3bjDGujhppvGE9uWbD2Xor
xcPiDdtweRWYmI9jRPWFG8NMDbreJYTvEtBai5Cb2Gocwu7EoUfRpKmHqcCTLktCYNNo/1Q+KtZh
csfkl85q/OBlVAx3TTarlbQjNk1F7ncz/louClaTxzd64njZIdX6n4yzFrZXrz8lmd3me7g4My5t
tvhbS1ndQcQTgnAnkgflVcGverLUdbAYoablI8nwlE8FHwJUGWCGGbvmAE3WXbdk428B9lvHlIQk
8w9JERQTFZfFCmxG/AC6fH5SZmrca/KANtC1BGTnNBfGb9VjSlx1pR2iTHSmONMlDkQAqNJwJyna
QKpynF9gDjQdIZktv7SK86MlvSjHNinj14oUHA0pBG3oe3Td33Y6DHTrUlayxT3H6kWm/rSNjCEf
WG3n8tmCtrooF1O5BWQX1CseouM2zAONzIeSCmsomdVNh3pzDywhvPD6VOdRWdw6va59K9k6bIPI
qaoNPCC7YQMtm7dS1US2ykBhIKBkXmyteJyQn4xx75ScAKwo2BeuM2B5MXZYLM+u26T3ZErigzQc
oicjDq5DW6WiW5OmGtD5slzZ6yR1yaVXrQqfKa1Ysqa1/8OiIvgXc4xTIwCmrrtiOeexRIvS9tzq
SRP0V3RA6HZ8tU3zOhhK4pKVMt32sAeRAE2TGGk+JYdhtsU71UM+v6QLdU5RGI+Sivst6OnutZdO
93uKzaDcGGMdXPEfl9fZzeJnPRY8ifLBT45lWyZQfP0gQU22qnzHRdi4I/Vji13fGNUxIeEOssRJ
frSDZ58wfKj2hOnGzPZhbwyM2m0wnqswae/9AKx6kciZzrRyWkEi746+NwRvGJCma8t1a9pY7CeO
jEpevLMmpzjCAC/bnZK63Mw9n066V3Tt30sL/ssGjLm5Zoer96YcnXeMDe2xl2Z9xhcwrcbQ1/hi
W3cMmScbbmBJh22RVaUxPZBmLFdpIcYP34nVZ9wUBsjILCix/vfDcmPlnHhnnB3wVlfKX9vCkxs2
3eyPJjGSwIUP8ByPWWGteInDlCqWJmOWbhK6BssBq8dK8sXW63iYHSLHgSQr26snVxQZUYVoYm9t
Ev2J9zFtYisQdPIuMNxpD0Ro6a/qp9emdqL8vjRwM3MNWs7NJjWJDnGeOzdSgcx5aKDzEBliEk73
k3Q19wsfCbEIuRUB4rPrLfTokQ9zEc6rRqr4Y25n56YLFisPmPuZkpMS8Rq3f0BXSVZIE/9FpPVp
LAYjPgZ+2Cbkamv9s8G5ujb7rPwxUQf/JfIxOJrEiV6EyJPnsBp6NE7bHPejaVjH2gLo4HlTf9RV
gg5L68vv3GLvsYvAtlK+U1bFtJYdNnZt0TPOqsDY80haTDOaOc5kGCttkps6RkwhfeWLDxdW99Ir
0oinObQgjy7G3Dj0Tj5ctZ0uANlUyNjXYdLmuUCd2djGUs8ddSyh0ymr2WmH0Uc9N/C6RSuvhTlp
ntld1+/6WhnMi0SdLojJ/g57UvHihsZw/h/snclu5sq5ZV/FqEHNmCAZbFGoGvx9q14pZU4IZcee
DDIY7J6+FnXShXT6nuNyDQq4wAU8sAErJf0iI75m77URQ49PqESrI62jwn5g1OZt6kP4DCsZXVVh
uqeeF/4JbQOcOKOYDrE/knCbjtWPOvCrW9du3SceeyrhzDlZqRLH0Yq617jrnTMe8/nsz2wZE1fo
I3RwcuA6Ue3tvMGc6j5Sk7f3gz82Z4Le4A9qUeO5Sb1PJn+5L5HI8A/2prvrU7Z90WzlF6mr9E75
E8sYAnfgKJfs4m3mDCqy4x+BkzxHo1EcHBe5WVsIKJ/hsMbPFG8n4baXTnafwp58xCZXwz5MwnYL
sobUMI9lCdiOl5ADC7yFHI6uSr8ii4yWaQVhz222LKWJLXRtfbKTiGFx3BXnKMjsDRSixWw4Fp+h
EVfXmd3AKhS0CNwO6oC0oTvAkEJR0gXZjt9H7fzUERs4qGHN5fnLcPQ/cND8E5XNRDkpTJAJKL8t
y/J+gzsZHL/VwEFyZA/LrLtaqrSAlfiNHCpnWLs8QtMaEhq2dC2IAcX5eSTYOvqXiRv/BNpiVQdf
AhC9xysOxug3Nn6rIwJtLH88Tuissl51X0BzDGST9k6oboOgsry73MROtyWIcXjop5r+j8S7DphB
z/sNROAj20WXOdlkt/GuzELmZyJxy+bNcyESbxxluC8NKUB3QL345D1RvAYNAiLxPpArh9764ldj
xfKOrvGF8cfiaunEo90Pxtc2iSi8dRA/Y3fQPlmLcfrapWIJ4+idK54+hgJBb74ErGpRDiXjfVN7
bLiZxGKpmM38TPRZy76/FhQSIr4diP1Zd+ASH5BLI5UfR3HVRcx1WLnFTozFqy1q876z45M/WDhW
l6Glv4wv5fskEzI9J6QBbzrZMnJ1H+T72DN+H4H6hJ3/kO+DUdtp/G/Eggd3o5u3D+iyrBeE5U2D
3pQqn5AkCvaxczVCljhIDykAl+cwETynxXt1b71X+uF71c/Wkw4AR9H01a1azk6zD26z9z7B6mpx
iEZutE7huNqL93aCaZL3xrYGRUEeBkccU8+xO+kj5up4ww7e3ebz5K6MLKwXXho9Cyw02pdg6WTK
pach5Iv/ufQ5UTJ2yTaYuZ+zGj9RZg10REtvhAm5XyfJgPhVlu7eblpmlMtEdM1pYnwp3puscem3
sqXzCpcezF66sQlgxKeGxRq0DJKtCKAIE3t+9FyVf3LtQr65/mzqDWZZljfEEvAhuXXh3nQz/eV+
cDxm4QzS5WsbSa/6ZiQefvHE1fEPVCl1c/fX76v9T1h4xi0kphNPYrOfsAL7N92zrrysFwnXSUqt
dZUGAIZ6QGKpWpEf8aUFxyZAQbSO0MhuUdLeBkUdXZIRfQJr/oEEni5umKbNOCOZACCVrMocF0bY
1NXGYU76CjILgVCciubRGYiZk3bmMAPE7Of54y2g09uBrCaxKgerv1hB2XUsFMboK9xZsSPY3jt6
SZPfk/Q8MtL3spPAPylFAko1uiMim3CoKMbxwYbeMuNH3nFxQ0rRlcYMzYzhmD0nHvY7whZmzZXd
BN4hSRuXzD+PApW7wzz00i/uPC8z70RtwRKtHTd+An1Z7WNiP7fxqA2kU6IemL2RyXvD4dLcBa0i
EJJKptu4zJaHFedq2G/dschPc2Ois9QWiXI04LL65uOzWQpmTSHpdnd22KuPczxEm1pk/dpx52IT
ko4D1KLwo08JW4VPo7s40Yeybnc4sJJ9SkxYzq3r+Owssm6X+VN8qIJlP+l4rHcnt8XGPZVZ/62M
QqwqhTajPZ1whX9fhdMCmgVyio2+Dw8sQ6P7qA+TLyW5o/vOx9QcRfibRyYjTAqwy48pVIQig8xm
m6l1w2hx5qmk6Cywm52B9BqfQ7Kot/xzHfvfoHrI0yywmfPK5tlElrnuiLlZ9Rj2gJ7IPkFdpbnS
ZrffTX7TfeptK30yEmV/bDLgq+T/mMm67huOpnHI7mfVxRui6MXZ5ZRaOz6yYCSqi3aHAEU/sbLn
ylQ5p2gSQt0m3sY5peB8CpoYL7oQ0WDuPT8xea/DTFxkWT+G4UC8JkaSFf53biLgks69Z7TxdZjH
omS8YwK4yYjsCe6gN+Bll8sSyXrfJ1ndqOd19L5nMpeVU8tUd4aptWyiIlWwlQrTKSPgtQJW8b61
Ctlf2e+bLCVcsQOA5X9Ehsimq7INXC7QUOg+yTqLK3TzufwUM91LD8LxrPiGYCTL3C732DdHD2NL
920HDYUA27asBqi1ki0+1RWdgcAGjab62GKd3A44p4/opzvq6gYL5kqDAtErsnHz7JAFnoK/xQDD
3bSpVZ+FFtQTzftMd1zGu7lrvSKaAi3cxU8EFb+m7fKC2NjzRj9FczVDEMcUu5NWrZefmphJFq3n
MWFFpIzaPWA2UG9/fVBh9EDRPcV1dfz2P/+bH6AeprDgkMI3IgBnLrvNX0xKJpP5nJGofwxjwuvC
W+z/F9n/P6y4/xSg9ev++n891SX/+U+y4/aF/5fGnc3bt/btbwC2/nbzFr+1fzu89d+L9PdF9x//
yk8vj/iwuHhMKit/0fIIbo2fsC37A9413GQC61rAdcKS+aeXxzY/CEFiC/Kn37085gdT2B5lo2mz
6zbZm/8bi+7Fo/3Lo8I2HcqWT7qOyU/Cvuu3wi/LOhu1VhFtB+bJWTbuPSeBM2VvcHfu//qptH73
i3uIjkILpuBCcw35KP7xsYyxRhDzpCKUmPWO2DysK81B5f6ugoM4h80nFGXrbngJQRf48y16bXOd
iFeKMgQi43ksJDJc+/AvfqrfXhZ+DH4qgZxXuPyXd4XDry9LJNM6hAgebWUyYbNrjuDGCJu1/Z1F
KTkzLfSNcu21oCFxBND8byYIT6soRqzVrR1b/vFe8Ub8x/wzxiO//U34iQJbBBaMM/4miBr+8XMq
E18aeHSirZp1AunGOYJMdB7YLEa3Y8I0WLpGcSuLnkze0ZuJDiGRqZtdTdBr7yySg89GW7kgM6yC
EyuIzo6THukdUeZpauBq+OyPX4up2vSUD15dXb1+leYIn5kzTBV2Fs18gsA3oUxILYQC4olv6hl9
pItL1r2aDWplme2kU22ygvKb4adO0hOuCCwdD3NUbmz6XqchTSKYQDWi69XkgZv2Kfa4ZJv6ojz7
QPe9atpX1pJHvOnruf9iVGeWkNzQgzhJBP62c8hD9En9S69ziS2YVBM5+ken+xgNmghgBu9YmwTO
jVKhVevi+5lrzc9uisBdQ1VeBwC5Sj86QU5AbAaOLSouEzCZsq9OCN53I+wIDznFWpfdrskCNMuM
ZDCbbvDrgSxlS+u01x5pIxTKkels4PA9i2Er634nmppdyAtG3hOigjUEtKNVuCAYmfem/Y6uE5Jo
fQAaso4LpK08Rzp0NrJBVtq6iDC4PQ1x0J1Xruah3/guNKqs3VjNl8S/hTh0gWKyStNgPbBtNM3w
JB3ezD7Ymhmb2PQxH+qD0d6w5NjRFr/15AI6zhcgQp+V+srOD4VJg1gkvFVAjMPpLm2rQ0Diehn4
O4Zf6zgCaGSGrnxMu+hz7JfGFcWDs/Eh8xsyGx5sQE4dFnS9srsovGOxUn+NRROhopR8aBSrWcJM
vPiuGLDc23Ncv4Ui9RmvustLE8GFsaLk6A/Oo29p+9nL7R4baqw/Df0SbybCeM+Sj9EsIpf4Yynz
ag2XJoJWVrE5J6abMW7E0vExoPvdWZ7yN13L5GlVDWhn+Cm88c1tp+JQYbkj17fp42vSy/TCTX3r
tsq7b+fef+jsstm9Hxz/31yr/3BF/ucSgvH4LxOEP3e3Lldj8TuEkoTUP77up/7L/WAzEPBApmPe
9lyPKuWn/ktw99nekofHs0dD/8u1iC+WNIwwCD2b+084LL7/LgBzP1hcZsTEcdu6ix/837kX7cVH
++vNyIodsgF9eQjykivL5of49V4g1wRjJ7OJ45QKpDX+W+ynIS9jW94k6FcvcAtcEgTL51rm3gbK
k7FvzLF4QxfqX7NAWVgtgn3mEpXEkOqOuhPYQhXgySsBQrYhiSF6SZWZiC4eQB3c91TITMgEAiep
i0eVEJGRhXC2gsT5xExmbSvvCvIBRJtLl0si76rro3tNyInH0n9r5hFwuix6HpMo2DEHhwFWupdS
TN4bvLcCUl+4VTVSqRygwrUoZ26NASQXJKhlNQ0n2giG3aB6uD9ZsJudAJUH2h8B44PqYIQGoLGO
MQ0b7pvEOfAX/MY9uRpkeUE0tZ2U/QBN+Fy3Ml6jGVgT+PvDtdIRY0OUQbzOg3lvJ+1jymd7W0OJ
2PWzIfcUys+jmUCMGC7a5cMMOykuGbgsUoryG6fq9o3B3rCSzVW4Wq3hzJX7dOy+Snuab6KPijNn
pZqCfNYG2JaVFEwWOraUWJAbvcUkTACC06yhU/1ACgt/1wOPLazNGHhENGdPTRgfE1nam9ZnO9uT
cEMQCwOSOTsYk743bLcHjKzGZxApLi68ciu1DU8vr5lvs9cHixQfyjpOHmHzPCSi/xK5k8+C0QFF
BZ+AGI3SuYUlk60KmlckscimAGNn+6DDqgVY1z3aSBGeRFk/YLJ1khVlvd5kZTI9mkU0s8cEDABA
MItvR++KguCZVHICRDOvuhtajJrEH14xrdwm2bhBjvASF7hLM0lbqankMpz+eBiOBkJjc45fhpis
bXbQE5YM/lTqpm27H3n1yERKbnoEJwfXlwU0milDCYNBsV+bsDBWDUaldTTO1CB2c4NNCSQgbf4E
4TIIAiTe03FU5nNUfrTZTK5kApB+9JbvnR0b01i1hTSfiaRP19zdLtorNAwLJ0ZxJQ3WvkGEUrnW
m8OC6zxb4Q+a56vI55VjgnWMmjvRBQhGsg170Id2TqxPPRsyk9zLdOto/HehR7JLFLH3tSffXWMJ
Nm7Z72G9GWbUbiHKpwqIOzO8Bg8zk7VurSbXuysaIU8iUtM5c0ClMZZPQFxX8dmwGJtVVquPRRYV
L5kg1xrxhkoviZ2YxySL28Pkt/GT8pnj8aiqI2PD6RNzDwIom6G+Szxc375fFZ/zKYJSgchwXZh5
vmbQ4Z0Trw7Pko0kdxt0vs6y2DIa84hw2Smf5i4FnSRLfcrYFz+XFEC7BuF2vGpl2L51Ue9vGivp
yVQP3WvoOvJCdTDco+4SN64161NnttYnKys0WgWEICO17hlVWg7OKHRvIX8m34UzcnOqcmq/gb0u
MYMzxbky/UmvmQyHixsV3bmIIDgxbujNuyAYzYdB9M2NFdnWpczr5BmfVXhtQub2PCo+4JnBvFAr
dIquGx43Sdz+3irs4ob+ABdDh6g5KxKz+hfFPJzgfzi1A3jBMAkElCZM+S6Yjt9G6nmOEUrgfj0G
cVzcSKet+2OmenXTLOtUHRGFKq1hWE0o7zfWkM+bgd0/Yyj2DhCRnr1eGbtCTEwD/GxRcymr3rhM
dXdeEipguSmGSYy1I89c7N55lQnN0sTSHmH5TJtwvpOeVa0wtxfXKWYozZP07LJnY/kXugfSCss1
bG13lUzuU9sCvdN6KG89HZPHM0w6epLDYEM6RkE2r5U/N9UGt2iDSmBIiEr3WM6DRSXUAYtq1I97
E/Jstu1Zjn1CKdKkGyqgGhO0VT0T+x58Aol5UkU37wwbRohvkHnfVetJeBsJf2HddD5ycLMA9F1W
F0PEzmEqERdqLR7k2F0S2T5GrR/gEcTh0I8uatB0RPwaAea00hxKLmMef8imtZVAr5ud/hy19cVP
ef3TdGIjhLZnqIDVZLqlFndLuM2DF39NendAkzI4uE8ygzhUz72pGQhxxljFzsfN8SAhCG+kjssb
PQ/+oiPmUZp9nqrZ9MwL6mP/MulMXchCDK/aNZPnBCPXJU695ian9X2oLc+8S3JSh+DP9N2Zv/V4
YZubXgeT9RErGZ73gPSjb35c9c6K4UDynbSMCg5CNO7a5U2ZlncmWN4ee3mP9PJGFSpA4hCN4iZn
z38vm7S5OCb0vSlRPesbrkoSCRVJIyW7Xop+tAXLGwwkU5/M5a2O/Lx6grU+XhHHx0fZi2HXLOcA
AP3wPM2Dd5YOxp6+qZbnoAkeWeIVn9PlNJmXc2VeThhnOWvc5dTplvNnXk6idDmTQkOaxxxj+6WK
PY6ssWvLlzaY9THLy/AouyE+F52GP9t5wVtW2NNZRoY8mYiQ7vBvczASU6jPFCDeV/AyyX6EZ7qj
svbu+H8bt7qJsR/XhE+lKaFHUEknXZELDLdipeaQCiVn4qB2mL9ZTtuunw1MlkkJ3DT4+0vwOKKd
CAACPXNT4atcm26D8XH2QzVv7HB0wwMyTNSg1axi+ULkRktf5uYSUFsF0+tQx20fX2zaBhDSirUj
nreg1yh9q2ngtUuJmTNjA8AiaKQJmBYmkHhbzpiv2J27zBZahzR5XoOs3gdNJ0AV9/Y1iEf3fjR8
a1eEQm3bzLEeFCaxHP14VJr7BloiRvnWYtIbZTVYi1xGX5YQE3rDkB3FqvXnxNjqsqAC6tm2F2uf
Y/N1LooURHRSWZwtU5aFPGJWY11gT9kPOePHRlbNvR9NSPSzbNiaapIIJquDwonP+Lp77vqLN+OW
iyPz6gehvDoAs2jMDHAKSB9WeYvN0fT1wnpmPyPDeNxA4sLB6/jDCuPSZ9IQht2UDV+tSsBWxRoT
hJN9FyFcuKk73lHkJ19S/wu62fA0wVvgvJlsxgRcA6JunFUGpshP6ntmEQ9Z7YebsQjurIi4uaT0
vXVcspTS4FzOnTd6B5YfBE2m4hQF8BJyzZ2X4rszuP+35iy/Fgq/K38j9CqTFEDuhjuu8+fZkukP
F/3RUem5x4xXz2dWpcwn0LV+tALIMpnVTD/CGi/EGvirFGvVdmZGzk/qx3+Ibf+rz3v6l4afpV8j
COXP+7zr9xi3z9v09tv88+cX/mz07A++u4CMsPPQ0b3H9P7R6AXhB6Zc8Igoot6jA/hmf59/eh8Y
TOLBAWbksasMf4EZuR/wDHIqInZxQwKL/71GT/w2liTsxVyGf2aIpYB/7HeYkY6SDsOJ7x3asHVi
mCY5iyFi8Eb4K2GafBvzojjxPI/yyMROPzrWFMRbbwDOsENzLJ6bjC6x6jyPwwTF+Ag62SDMxx26
sdmXRiKeQ4XdJBoGEx2NwUJL4I4Tax9Qpl45jpOFB1XXAeGaU9DIi2nULOJJ+Fy7bpzESMHYLSjX
p9Alsqxba20ZTzh4QHtpX7+ShVisqiwIt5ZZ4AStggeTuEg0xebNNNX9CsF7g1FT9e3XBpEou1mh
2Lfxy8YXM1NhR21izRcX+nGxAUdKs6ELIprmojz4ui1vGzuF5u0GkEPcWRymdMJT44AWr4wJN2NZ
TN79kIjwKajDYD9Y+QDlvwjX2VT2KxFCnBRtKWklQ7b7ibe2e8amHwF/DvoBir30V42qHyzuLCZd
Mp3Kbc3o27zYnEDxCXtxf9/A7UPFVNUO6MC0y4Z9FPQ9zKGhiFnzVc0Yb5QVLeJXQ2ADR9wKoRtb
K/ubAiqadQ+ALZxu2zjwqnsL0TYGBrOJ2gMIDnDfiQys+ajNjpVp1A8hmo8ssvqt1sgXdqJPite+
AIh4jzars3fWTLuDiozcE9onG5cwLPxe7yJP9Xu/M5NvZi1jf13KMtxXrbY+uuQtt6B+4njJzPwR
shTUxtDc2VVgX+p2kpRSpnEwmMG+orUZV9hS7ohswsXdDB1ix7GkFWqHTTk1KdSbnIrUBE5Yk31J
DLWL5Ek5lfomyt4/1LaRpPsUDpa1KWrgPejTgyfuYHTak197E8DFLngsLGO6DESsrdEjY+VXXQFN
mNqXuRy6mLpK9mRF1Sf85qjzVBhvzTQ4UcYtkgprfoqQC+76pnZPbIMFaG9jjx7SvI0Dvc5rpR4n
J0MDwNTuFodxBC4akMACjHBWGAimfFXXiQ+dmh14vK+Nobgw1wlwcDADmWDcX9oG+s+iV0qfeFo1
rnmBxNG0a274iRSZ4xTng1wBpAKyYnmrAsrAEfFofhsGUQ/ZJAN0E9eRpdaoDqcYPd04kuZrDKy2
20XjVPofxzQt75up3tfo6LZNaM4f2Qqn31zbGLZt4MvHUseKa09nfO7ZtPcy1OR+2GEBMGZ9ld30
vdZalis52eU2GKPukBtZtvNa38hf2XV7j0M94fWxktz/LCeEsFuz9Jzjom5jPjBqKApSbD3D1lu3
b/TObKC+Y08a1u3oshOHnwkwNsPW0sbFoQiNk8nWlhOmHK+4IvVrZKoBSFhc3MWhaE5KZtWpmZLw
dhnWQvLro+4P8dJ/XYv/4lpkMOlxF/35nfj0VqYFy8Fv+tdL8eeX/XEjBiz3XLYLATKMIAycXzaC
3gcwfTZrKGHiZWUv+H9uREt8IKk6NCGpMTTFk8q89OfoM/hgoijiqxzW+rABoQX+GyvBJers15Ug
0x2bNlrYXIlctL8PPttGBJrqrd3CwKC24wjPjeYzygLw5wwfCeY4OWqcD5p4+z9qrT/dfbGd/u2b
B6ZJo7f08MTg8hstl/Uvq+vRIBNlYPS0tXi3DlFHVoHRJRPvAUTShXWG7SyzL6nqk72WZnrpasv8
Wk2cTaEck3KbdI4CBDTP402PsQAN+OieqxaJaYsY6tS0tAVpqzhLUwVYo536+hB5sNtQVEiAUNK/
7wkMz6+yXLZenvckuNkWmx//oA/ec4X2yLrFj1iYG+2pa5yWOS6CHOOUS5tdeELizSuUuPEdonRB
1nAFIfaf79uJ3tQOlPEEeBxkH7fl7SBIy/B94VxBWJC1bBjTMxmNQAH8CDByNs4r6Ox6D/vHPYd5
TyB7mo7HmaphYfUZRrqy/cTID47f2BffbTzS1o1UgxckiECcm8ho5N7xRbSPU/TBkL88dO0QNj7D
Z8vEOrel/SBCK5ZrBXEgQaHOp6bEdJgYCV+6uDUOQ94k5T0gw/57GU0mFF6FBBWVUDVBPK34UtgC
w+sQx1CPmSGXj5VQLyCPXQYTcAlDuzsHlXMOkW0f4qxVh74N0n3WGJ89bYZXUzsj7GI9NtQIShM/
mGdw7rkHRjD65TjeaAkwSbd5Tgc/lvsi8fK9HSz3TNYE9aUCg3KEi1geuKmHJ+4sdN8Ro9y01fNO
qYA8d82fW1m5+VZUnonqRCqCV/1y3OdGiG2rITMqT+NdLlt5FUa+r8mFqVbuACDQN1SAhQkKUcib
4yLX08TmpEMi18wzoN9nQyR3oB7482Oh3oVasrNFaL5CqU0AJZkVG6/T6sWLreDFz3MTO4XkmY7d
c2A1HNzLc97FabFusL1fsa+ET7235DaVutsMCj+MMHFWQdvCS0bkKuUBtIgnH6YgDiu3zR+DWIXW
pqdkthg8ErSebPK6sfCbq3T4nAVawIolKY/YIW1WVASqT3lbrMHNd848l6zsBtvpdyUZkOQE+eJL
5UTdgynIclj5WVfspwqY0UBM4/c5tttHf1AheWTKxjSbaONzltrjJdWl8yRyjwCXsR4b/8ZJ8hBg
1NjXyIJ7iqCdZRjAgsIlkRZ4fByvxryJQVTk8fBFktqJTx6OxyVrrdb6HARq2s++O62R5bHLDGcv
+6LGlhSfEjhtE+viSaW2e6jq5qiwNhyCYvgxdwZ0FuQ+O7JfxI+49uW3FGz0YYrd9NrkOjnObQfw
KyKdk49T9NASE3k23VTyUmNKeQbdHX7NIhEdjfegTbcw1hU5Eck6VqV7QLqJBTu1lLrOFtr0SVTt
CzoKeCd6sGBBze4bDHZY10Od/rBR3W4pY6uHyuixOAyh9VbGs3dn6Vmjq4z4CMdAPUdZUu+LXpmX
bozL1yRzm481xslnun3nmCgsBJLyIWLb1JPcpXU+7KVSBcU9Ona2JVFqtV/BmDO4TgQJf6syKwLn
2UZ/OOBJ7aLXdo72UTYlPzAHef7BmUyNHSyBOHiwCS7FHEmFg3CsJjA8EdMqdOcy2DC6G0laM5sq
xiM0eSsFwYSkL8qkN560ccLJlEwcSH6Ymhsj5TRG9w82J4ETiOtSDogNhMBGrv3GDxF3E8Ayi8li
nO3kC3Sc6eQxAunz2TXc8E6ztGVf4EcvStgtqbUGIuAlTSA10N31vDZ9ahDA4k3E/JIOMZxjlvof
dYZH4hjZzEE2TZbP91YD9X9tEUK/jeJ0fKuyUd5gR8LLS/hSuO0NJvWDUdlEJfDBVH2Bx1oL+R0M
JHvquUbb69sMlUxNas0KaCVzGg+h4SsPP6xJcAn0P8OUh+jXI2Jz8XQ3k8mAsyeipES2p9Y4wQhu
cQZpfRqZ8jFMSXKyXhh+OytPI+wzqkE5Wz+XzkvpSPOVMACcXwj1v5JMR4CbM4dsxOZ2ZxaxuiWD
PfymxIy9pBnDDFBgZ1aAQueItcIc1VgVRni0/N9S3BnNXCO588UT2EeP8DeHlx7ra9ccpqzlB8DM
nS9svnkAekRoMKa4PMMmnpNfCdGUtB1ie6CqFPs6n6oO1Qu7+LXt0R0jh0HHuYcDGhgre7l3aLLr
j1w9Ec5rRPR6XY+9fGbHMp/zNgt3/MlQaGZBt3MI/7rgC+bCw+IZ4vv1uxMR2UsuWYLREvNXWd01
qBPWrsPrALbHh3U4uXfYGZMENIwvbrO+925Ah+KRb+zqwv5i4DSdk3MZNsM+yTX2X4YLWbUGx7j0
M8hgH9jnWN5mwEOBm78fzOVFB4o3d629jc0w+EbPynOrp5SQgDoP1Y92IkhsJsmjxo5HyLIyYyqh
sO6SV/A2zoZlZHePw2MvmBHcJYMVPsz0Mx/xkOK2ZQ21jtBJ0hwkNjiNCp1Igp1lSf9ObpWveG2R
ljvPRd30X/uJ8JQkT9sFcRBP4wqU3yJiMQWGGMdtr8GcXCanIk+050LWjdo7NJpUEHby1I/ZcNPP
ki9OnCa/sWvDuivSQtw4o4XCZ4AW+oCk3lxNeNbPxCzC3SrxPdfFgzYS2BL1DFIrZARtorCkgP3q
9Ia7Ablxm0+xuSpZWwJPlHw/vtDb9VFJBFE91Ps592x6XZnsHCkGtRA5grshqUH7eMoS5SYnd7de
oUetsTAGwSu3HBrcmoeKOohC6EfZJ/PNpORYHMntwJtl47dEH5I6GWZFfqCjnZTMeO3cYd2ndPtd
TzCJ9k6Qdl8JYGynXckKNFn1rZQHHwvQJScTxF41QYH3OSv9yeVodTFXh5Bgh+PCq+afhtHcrfJS
V48OsI+zmrpZr9G8qoCSz+U+lDrVLxiU7ZehMQu2aAF2+qVUwW/paTb2JjGb6TZrTO/rLHP/nkCF
4aNFFCBRUH2an2BiM5/sbKqvbavM+hm0jCI4CwFMx0cahneNkvNNbrY4zivfeaJnDQ+mbWe3IvaC
1xGCpLkeLV3UmzyAdnyMMOQBUio9fpKeA1xifS/Q9DYYDL6HOaQ59uo29lLBWuYRgaGL8kCNNkl6
U2a6BxPuy0UDyMA0HNf1JclK+QNNM98mzizccfxdHM5VlbTFGjg5h1gKvlDRjiM+v61KB2kBCRnM
+4uSRM2tExtTdBubIyE6WbwAneQ08wFlCGJhfFEQuzt3SuzHvo1a46QjPza3WW/b/Sn0mj7YWRB0
b4K6CE+694uAssccqYAXJoFF2M9JgvRUVGt28CTnwX5Bp+y98FJn/clyQMyVVjJeZg6dnCM9958n
GfXVGSpU0qxMfNQDjlEIRBsQcS0lqxzlea4K4y0wmnTcRAZJmVhGKaOwclS4wG06h37XmR5eS/4m
YXtKpih6KYo++4jYqE8vc8Le5OiyRjkWdUtCZdsY300ri055ZHn1yuRWOU7jwFFcB0n2KgYHhUOa
G90Lf21G99acFeu5FB1DxZkWRBU26VAxPCs36i6YXwuozBEM0RW/+nbih9DrEd/4jezdIsGYjnZr
hcwEAyIOCBfzq93In7PvP+3HfncoOXSZIdgnXwg6VaSqtKO/tmNEW3a6SJ1uGzFbPNZd/KVKq8fG
kq9iMcG7FRerD6eOIvOzgmd6/0vnfPdH0/lrxtBvGpz3b4/SFY+Oa6F3NX/DXOSRspkNGUvokWpW
xiyrCx9+cf7r7/Le0f7a8S6/JWIjOk7GyiZr43/8LdHU9PYwO3rbx90CW9ToV3wiRoODk2DsJLEH
bcjKDqvkW8X1ZIOpbxi9WX0xEAg3uccJY+HFk2WHqN9nE8lHtvbQL90Q+Di92jaNQpp7cbXW3IuM
f02vjv5LjvZ/xyVj3vGXgu3TW1nqv/33t1L+j7+d30hVS9tfBzOobJev/ynV9j6gnheLInt52N+p
YD+l2mjSaPsd4nSQ5zpegCj377ELCM94PQCVCZ9cjnDJjv85mCGRAWyDbQWO5fBHxef37wxmnGXQ
9MtoxoAX6jtYkH7POeE1jC2t1bwvqSVWhhGBpU0WQi3oP9bNTu7V2xDZS4ovdEgIYlJOvjXBH+PN
76FBLVTcKfHdG3IGExz/o78pEj0eioWwS5QRUk7JhLbeaZc4gkjB6RsiAQe+7qYjBlixKkBYvYyY
JJluJ+ZWYdo61GXb3KLqzF9izvUtzvNkD1IL8bQu8nMYh8TZz4wlRVqV27JK2lOJRXZls1V5C9gr
n/3U9lNwzTLsSSYXLtQSR+5BMZe7fuohBcsBm8gQi+wRUF8HJYYI48usEU4tWJPuOz22Gtcue9un
rjLqh47Z+HRuuHfPU8tcXRLHuYuCOtpP/5u9M1mOHDm39Lv0HmWAA45h0b0IIObgFGSSydzAyCKJ
eXTMT98fSqmrVF1J3dpc6za7WsjKrIpTBMKH85/zndj6sNJlQXUhDrzRyo7DGeEdhriiplQ5tsPf
c65VxJotcW7SgVCeKpdXLRvSLcdD82CEmTzBCJ2f+gwj/VlFCr6Cl8eq4npAhySH8ELelK3Vb2KB
BRhBOzzL1KnfrYwxZqdqOtEZSPtp15iBp/T2s0rL7IXbbf2CONMfdKsW33E+TA7T8Lg8JYXJ7Tf3
egpZ4S3/3oMGP5kI3WIfUwpDHWOs5HGEC1zh2Eu0J42Sh4lUK1PkPYNn7ws+43LI4VBExMy19mzr
Uf2m0TWBydsaMDgTINti/wCavaR8l6SOWft6DNVb1U6AYhZTbOPFhi/N/CWI1//ShLGWEVHrBae0
vvhqRt6FQLRm/ZwlFnWJLom86Bv1QiydxSAajou2cgxcTwX5HStzo7uCLefoFU18L+FLUgrbhjFv
90rTp1Srmv2mj+f7MMJnAyYBygbfUty3/Ipv0IvxGkoNvHk5N5IzvkaPTgk8YBcuDoCgkp9yjC2N
EyFYqK8Zi3CGvcmTORH12IMTwKNCnHxsxNWxVfjm6T38bngx/N9kCE7FiST+5c0chc3GWHvcOqg2
EJYfKiFyIHxebSQQ+mnnAjKaXBMrj74kfHtYzLB/Z5EwupeVQQUgnKSO6NG4kNnz3LzvyRRp+kco
tfltiaFTm/xYGXBUN790b3T5SEdr/nyApg2UmaTuStZSMPfqAXIytrDSNQPS4DXU0VxUVcBtzzp4
EqLJThDwt+7jZKmTwBqAZmyhYXDta+KeSxP9rvIRczZGf7PWOPhzqi3FllG6S8nx1Ouf49xUVOMl
Kxa9oNEJfaXkZKTpoTwZM7l38naedyWy+jveWOs4GxV5+HLJD7qed1fkrPoyweINFqOx7nlRPAvP
ZT09T/gW35B8k2Nht9mxnsNu34re5CRtd94dPGbxmNeKi6e5xIKmrpGRHS8mxjOmrCMOrLlNVm46
ytp2bJeeVm0tevRE3QdiqL3PVgBkQ5fD9ek5Sfye0Ez4HoXpsLO5yhMOi8Z7mq+0E2z/4j71pITe
BfVp3DDNtYhLzCbysmOSSCB1Ul1y3iQ4g1X0g28CjTbWKQJIKVIbLe8HRX/1FvDjiiQBPe/2rdwm
g5tfOpLrP1wrclJayqNk46i0gfgTEkqtwe74CaGvgXssdRP+QOkAgHama9D4mLtSRsm71jkivHBG
mA6zDXYqbgsdsFTthhepyDpSM4NDk9CEo+otr47+JmvL+wbnucAvojya/vIHmifJGzCu3gyWW+6k
5oL4m2RfP9ly8M5FDfIgIhHyeyVi69SDndvqQ6/vTebIxyEFLkSg3sXuUmUHkXABzGWMegS9KOCj
Dk17XdPLOcN62FnayY4m6xVlIp9pd7DavRyRyyk3Tm411r2bQreNO09R8w2Wbgj0qlVXyTp/30B2
hzpSuZNPuANJcIyteyp+QAUpLf40HGgdG+7DzGCZo5yRgdMDA4vk0Jdy3JfcOU6khcHwcGSvfOSv
qQlqVMGbSBbARQyirVBdPHXA8JRcGcOnwAm7B9J9Xh6wWoIe9IDqvLJvQ1xuM8j0UjLIXvQaXLSK
xsZnFgg0uiPbcIcWOj2nUxV/ccmIrn1Kz7aosQbw6Ri992hUKcz81qJbV7RvI9fjlz4hygGtwcV6
NhcHy+oWh0m1oe0A0ROq5E7lPBST6VzydkH+NpfxMrSadQva2aH3JDXCUxQBYlr0aKSIJ0l2UbyY
x04bUE2lQYmFQ6vlVTqqwIQVxn8wuNtPXZpJfCvAGr2B/jPWjrtFp6WEehAm/9N0iXGIkSleZ8Ec
vS+LWwyvQkXpjiM4XEt2sf3gFdW6xrtxvUlCSDiE25gocpW7pUzDYQjiNeLTHKrylpbGabuS3Dxf
dymBbHpX/U71d7UxlpLi9LHRTgtWsk/qBuZdZajhsWUMTkuMJbO9yYX6FDVR9sYFmft9SajyjuY0
Heho3iY7KghNP2rttdnHAlWmaqc/O6NhnIeCvmsgXf0eGGWyn62KlU7ja44J1WuXqgmn+9SN7X23
UFuhbOh+UdQ138KxbP2C7QQ3ARjqbKrUdZQtBkk3dJ5U6g338TCazB1m9mvQuWdXs29j3SiPagD6
P/3B/6cBw6E6UkTvf9xF/svGqusP+n+NHEyKzSWt8S+dRKf4rc3iP0dG/vaVPwenzm/cQ6FWOiQj
cRKtp/CfVqI1M6KvUy9Sk7+OTQUxE9dx+QL2F4vZIsGVn6dzYfyGZMDVTzpY6PAhWf/O6dwx+E6/
nM7JdhLtZHRK/JbfUcIg/vtrpF5Q+hNqM6d0uP/tGiivUGY95Oet6mXP50OG9ouKYMFCDLATEH8q
44wUzS29MCtTkMahuhkeYS96HHYlskmXa8WNO/Xdzhjj7lohpG9Ko8LDI4uFcQDr7CGGDXTmFyoC
LNfjYfR6e7yZpTtOF7vS23NNcDi5k30feRtKDeOE7u/Uic+t4yj2/xj9D+O6nFH1ZmLeMBc49E2N
Xnp7aMaLuYHERQ1Rj/ZLcDxNXdbhUg6HjA6J64DifWioiGacMpXfiXZOnt+T+/7gj6O90FXMMe3I
7J8cZUvS8Rpp081YGOF+lLQk+NgjxmozkmDZce8aol1rNk61S5bRqgI1hclt0hk6Cg4gsCKInHrR
T7TWwmILWc8zNJAsdA4pVnD9YC10Y0POtxIAovZoT2y5pfaj6kn445SZk0sVVulbQ9P6hXgPUmJb
VU5ynoSjL4Gbz1ijC9Np7SBrW+XghA/d79FY9a85V4VVr++qT7Fo5ldsOYQuqBGuL+GSzDcoPRh9
wZChU/TgA2CpsTscDE2MYFY1mPtmW/xuFjFXlyyNo3zLxFH7rqAlaQEFHqraW42y74ma0D4vrIih
zqIGRMSQkPtTBXWX7tVOhxBrkUmtfJW7xpdd617uc6fIX7FFw3ToNUz4ADSXdE9SCb8p/u2WlKGz
3kD6UPPORlLXO6MuB07sqrmvZ2o14oGUkdlVzTVOXZ06G/zUtE6lxcjeL91tJov6TVfddIuJ1OzJ
NcwClr6TnTTMUFuQ8kyAJ7orODcQHlrmct53FN3tKmnMuzjKphcHwsENsjJON5mp56muEsBGKVut
ueCkdVFRv1O5ujwa1TTd41mmT6kjdZIZ3niXGjRg5jQq+FbdZDf0cni7nu+1hxOvVvhpuSceg3Jj
lTogJX6lcUHPn7VkudHwh2IQasMTxOjqIIoYzrYJqwK3ePHcGlaNQGdyhCLTq9uUHyiv3jTDmVZV
nnyvoBmsHcfs6g3SPCYxf+nY0+aTuIliuN5yceqS+Vsd0YIAsGE60UyCE8pZBka5KzzAZpbrGwAp
sVGIMLo3iGU8mGJwg5lpFBXFjrkHF+DUQUyR7Zc7Wt0DBVCCmZs0HoFeLM8AwvHSOu7s7QA/O1jq
prp8zmlXfgFIzK2r6vqvPm7TZ8eQR3t0+4OV8b1TnYZtmig6+x5jUvPaiEI9oN4abxir4S42wvEe
RdLrfhnn0CTTgrpnxiRzDucwNWEjmPMSRNz33sYlhXlea4phomiiO2vIs6Adh+J9otXiDiex/SON
NbWNC4p0ggEb3NV0nfAw1wnQvqLKPxwV0rVVNdBB8RjI+S51uDlAGk3rL5E0xvP6IDyZi7N8xc44
1oE76vk30CDOA4jfe6dKgJlNMVVIviONkb9TozEvJ1T/asKS0faYCEoZeHke3uK96U8za8QVrTz6
LLhSV39ALF4yIBwgU1iaDyZhVJzHZmh+URWIK5wY2QqMzIT9hFPREAxYscYtuYzoyY3KNxt89Keg
2BvHmVvn93piD8KvPbDs2MGni4TNaPjRkiy7qe68wMJMv7HwvG8FHSJcgnkGWsphdxFjtY6MiNWe
FmzvddDmLVfsknHwIZ9hlGzppOnvae7NSeNkfEhqW4IjdjuhrpHIm31STXFFBU2vHtMU6B5+ouZI
sbV9Nu08vEa5Zb2GbZmdSn0Jf2ijeiR9MF3SqOfsXutz+oD+khWHasS7MiimBWs9XH/Mpha0HLZA
cTSM2bzYmdvd5DRjoiwxIr/L5OTdejiHBOuDRodUlVvLAypNNHJX6LrHEBLTU8yE9odIsc8NQ+Sc
DTfWH0xab08JpbqXXAzFKcn6AmsPGNtthjZ/V5TzfBgq8iUUSmstH7KB8qFcXye+HfYIbecmTcJc
0/YazO8zUWKEl4eoSSmu7Qb7RJFi8TaBPnrTcrPfc3Tndx5Ns/3goEzOu0rE02Bwp6LgE6Z0E7uE
0tr6d3A44xthdsrYI2aprp9pWdNToDG2lEwkJFPo+XEaAL5foeKasFlPGyQlwe0MNFrPgZBoMB0J
n0s6ZiYRuPUVnTmCb5yRyqqOKsVjTAPyg+ZAs/db3S3qXTJl7Lcuyj0FkSwvm8aQENDjcRjfNDNH
9ogLEV7jbu6/1gbT/s7AtYBh0rWgTI6FU96EjMYoaE/mh5aUHjt7q9qHsnIKz1eVx1W9SB3Lzyir
ukDFw7tvD3Z2S4iR+o2Y+spYqpykvZmKD6cYGSbgPhypxTLN5Ez6aPR2zGeYjzp58syenSV+m9Qd
mVKvGn6UjOnPee7Wew83F7yqljCIQz2E71YpOncmeu2cJ+GiHxOmuk9mCeZxwzg8PS+NplvnuJzN
l6rWKayaZHtMlG3XG/SI6jSosTl31AJeJ90VJ8uLsx2KJLKNG5EP4fZ5v5SKF8Rj0V15+N2LhJ/0
FdOx86KP8MvyruGsTiFakC5wdrywsS5Oa9KoPNvKfulEGwN4wXmFdSayZHhM2xokTBwnt3nYZC8V
I2LSRLxm+5D2eUhdyssv3ty7r96STKB+7O+Ac+r9bGdTIDSLxzmySJW2tfWkpaCgYruARuCZtbI2
paPWyr6uL7c1+YR9LLP8tYz08VmwdNa0D7b12YsND+vaouubbBHTQUx5fKIcsT9SnELTQ9fYdJhp
u4TKQQYhKbZaaDjDj1lQEMRYybL93HSyV3dumSpC53MPbai71OH2NOQ1hj58hlJ5235K/ZaD0Vav
E5OMqaK3t3YP48jj33eZPBud+0S6ud2PHsRcZ6hfWibs+8Fq8SA7g8uKlQ5S30+aQjyhUyd/THhM
XppJJ+8VgtJN0CMLrt9GAj3AG6ZTj6Mj9au+7qJtCYjju6e6+b3GHZlg004gG4w58Gi2H+b9hwWt
C5MNsDbaXnKHqV+NQ24Ke4krra/z16Sxme5Lb0APEmyf2FlIdy0xvPGUMRkeoWoGFDVr2j0Oqify
Qc59lFjhU6KnjubDpeIuaVE1Z6TVhKymV9pnLQv9CbeweUhz8i4p2aJdBELWz6ENPY3WMVz9vLQq
YuRT8kYVOvFGfbS2AInwoCMTbJwypgUVGrFP12l0r9yuDjTbuHUKaFCkAkJUG318CJsquWQ0we4y
LdFivzPYYxHbBWgNB3klGMJK7PqCJhzKHwjONquYgcdGFocii7qblsGq2rRcZ54lk0B46F0Vm4Gg
jJNkJwfEZzLathuYE9XEDWsdO9gsr7UzijQAnce6ZTRlTtOm5nr0ARCs+pa2i3c7znN8HzndymaP
ZpDsA1zfk9sOzXdlG/Y3FwH4YsPbwgNQDvazsiv5wGJHwKpgGvDKB1jfmfSVcoTWUPb4zJSPzjJF
1CnLlhW1q6j3Wmr3hKgUf3n2UHRBPEYOXjTOm8dyLJDMcgpJqWdwOqUfmKeJnalMFdOzUpslq+Zs
aEGvJHPhCDc+zBC94F3qogjSca9AzDqYUAQ+VUt70zRLPZZRuKzT90UL6qIs7lCI+9fKsSFuNpBa
b3rX8RvLBXuvIPrDerIGGjyUnb+qbOKGFluEO4Dqx/Qb902Ty0DGlm5tPC0M4cQOE0EPvYyhiEy1
YXHS5FGmVVN4LyEgk3AzOKFH/TMpKlRN/BqU/OWWtqbOZr2G2Wq8KKVZ0b6zdffszeM4+amIkm+V
5hbzAzQzqBdWWllfaEtRta9p+px3oc60nkIIN+qCHHJxfNeZFleOPK+wS7ixsbDp5R7Fz+585TMz
bqSJ58Dv4oWzBqv/uYsxG/QFM3LXtF5YluTVrtgOkjT0aOyeu8eJBHPGaWp5GZfIAe8e46Bj+aXg
tmUMsGxYkhb7L/7f/zL141fx43/9f8TUEBihcUL/c1P5ff/R/x5/cjr8dXb588t+aiPMGj1L8vDp
kokcasdftRFH0qdkokpI25AwM9Z/83N2aTDwtAQxK0EOy0OlEf+hjhj6byuRCjXFFFhdsQD/O+rI
n03lHECZPdi6A/hJ5x//lMuWlKZjVOmbLdOOV8jsvnKRFKKod/wcJ8yGM9dEmsq51KX5+y+v1D8w
EfwnWeZPP/pPJgKRGqvjdgUKWhnl1TH89jhd4K6F72NjuH95hP+pZUKsf8mvZgJH6GgN7poow49P
edTfq0BpOLDZW5SfDmlmIW2SvPDW693kimyHw+m7HqV0z3IP2OZ5T7WEMzh+VuuSW1P/HUWVyowl
ek6L7H7unBuZTr4JBXHT6eEL9dSYoxtKDJMqPVO/p7b/+rUikPeffn3PM1zgwhbPCg/U+kb+YsCH
eagce8CALjOuyxhDUrWBSky56GCBcgIzRUSLSkoMcdO9R4vUIw0RdwK5KBjwtm/0vvlO92PkoyS8
alZ5iU3apKvsPXIAPjCdP+KHJIE78t+KArJ/uYrG0eju7SouCaXOzTFqhP6klTp6cJi3h0rLg3ng
+LE8zBXXVNpkBxlfLZkeonl8VwwzszHeDn0RTOEArijJHpiiXut8frSaj3mdyAJJ+TEl07J3wJgH
nVk4N1XrYdiEYH8khtfjL0MUUKz8gXT5Y6bSfLZaw9wL+P5PdqY/lCTfYVrzk81myC8imua3tOic
PTa3ac/NtD0TEJ82VgP+ekPmsQ0so0/u5pb0rUXp9UF3smhHjm8K5NqrBLo9vMDABm/hpeqekI6F
6qzKU6cq94epCweJmt4Ml3MxGfK1QbW07R9TFnpbfOnivZa0Qtd9p58G4zyKeKRWYIliLGk0hHMO
rXZQd5ZT2fMjdJuU11AaO61c3dBJ+pFElX0cQe0wxGzGnWUbD5qqqUyZ41PIGRXx/9QwXYoGG6A+
b41Uc3swFF9Qp1AQR3oTg7xQzQ2k1O3UV09Ozvv9rx9IwQL0dx8nV6LqsnrgBXIEuZc/OZC8qDIa
ElbGts9zKn0SuRDOrxtMtH7pRjXMSmk+Jav3nCOg9iMOpdFsahd0apjAGXMd8xvFz8DFwvI89r37
Oa02dpNyij3nCOXbDOIhtlTZi2r6ngqPUP/640/4703t/5CUWhsDHY6Pv7zhay3hz7rBtffwf/6P
J+6Mffvn+PDPL/vLvuYJlP3VIU9R4JqVWiNRf9H8PeM3g4ySYA7Av6cp8G/7mrB+Y7fj6smmxukN
Vf4/9jUhQEh5RH7BXAvdxV327+xrfAr+/gElPmzSxMQ3tG0Cybjl/n7BrMuMzA4f9AN6zuz3NCps
tNE9FAPdFIY3fXcpn9kMgNz5/GTYMqrucxLiJV0FTyfXr7jeG6ar40dHi8km64p+2012H2gaNb4T
V9lHNgd1doYIxwqj3GCBH7JZmvTBxhYdjGKID0y2XTbT+tapM7FRyUwioZLfK49GGLufr5WlfzL3
vafsLePESAFE6aXWZsm0DzohqHRrBa0PpLxArDNatGlY6mZs/ryGIT81Gn4kKj9oS3Vp8xSTbYcC
sSns6D5iHSO8KLWt3hCvNMy0pBrdMc9dai2nWmNGHpchqKvasSBt6Pn8HHrRk55kb2Pcfs/0jkPn
0M3otI4lt+k0hUFX4bqMwUlwNbb6K+LGPmsz6wJYZTqKTPa7JZyrgAorAL+NQQ8FkF6slptUGv2X
QQ2ymiN7a7QmZlxceNwg423cqGw/K1mQWW7KGydlXElZN+SGJtIgWbXOKVaC07HdIG2PnnPMWgMc
Rh7Z7509/2gnLwYntDR+Pa4oLi/nn0qzfu9tT7sJ7UE/QssFdwdsGK+MtG6WDFsotJPP1OjGveY1
zl2LQrdb7Ux0PBhw+PUKuclxaDeLS/prvKY9NdTUX121fNQ19IUqmxqAz3323azm75aLw2TMZlhX
XoodG2M8Pu8eFKEVB8tMtW025F9J6WYHp/J+eB0arY2lnKtXPsc7oCTdlqnpiesPD4BLz7ZOceU5
cfKnxLafuHOlJ1cnAlZEU/KkQtp+M0eAqW2y6CZtovwKnNhFzKa6byHysB2TWPldbX1zwI5hjdbk
TZ82Lzyv3ueklx0WtLK4XQTZn6IjmzfU6inUwqd4nrZ2NSG4L+o5XawsGHSSbaqE5z5puAnKST+k
nboaDFEoKEMlscms7wr6EZ71iOOitN3rMHtPy5RCViPLjXNP+kNsEU0ZCjp1vEH39tOkovAmNUXT
7ouFvC7UGvJFzNvqewsn9daQmhbEbZbjUBD5lnD5eOS+Xu9snsG7qFPDKYys5MBAmttVHLOceWq/
dPVNr6fIFG6O+ZiRV3qlM9vdE6WjeFCqZyNS0yM9X4TXAcMSHUMS6yz7G+FGsc+SoXjOUwQ13qph
O8p5wIKedghGvRa+tlWNqTYTzQXXEcWg8whTBNCThV4jWwHDCN9Y3ZYBUz2YaRNXd7uwpoeI8E1Q
Txj/wBxz5VX2CW6LeQe6mmhGKOmW8cbkYTSo3p1r0Np6uhQcjGxqrmfvQEqj2dijUx1cwGLZpl6M
hzDrpqDXqOadYZjjhwZApKvQ8Qc7Il7WrQYvguXAAGJZApLOsc/Mmg7AbdT6l1l59reeE/6hcWfM
08R5fE130p0cqGVJLHpdUqfBrufI5JuX1M0lqhpM/7FcxDVfDO0WVYhhqpenL3BfX/S47XZk18Gq
RXRSqem+7gbxSSvQcE0YIpI7UoouuMF2NslUoV3EGmqlqt8T2Y+fA9CDO4d4wol2rPFA3X3uWyEF
ppqTZwT6oxcXTe9Wa91zqIGCA2LZkQjxPbjufjET/8AtfsZOKfjkJmYaFBzEAkDdztnKi/R+XEJm
gUaX3sWwdv1K7y+9nQxUW3bNC4VrIDQxTN5SItP78czgqE/wmhWKgAiUmPTb4PFr5OO8XMN4eZgk
kXtB7wJK1pgcKXV5YB/SjoDlm53UZfTeVsVyICX7FHH23i5mSV5FlN0d+QqMlO6SAHp1YeeL5DJR
sniF61k9yJSykiLhQNwaiGHSwWhiTm4YkOcHWIdSZxw1SYckPSQyCBO32Ost9OhJo4xGKxpSAQUW
wMExWYUT+WkYNNN6dm741PnSi23/nqA5AMZhzEBzBL4jnWA7HsqRS4xaOKPj8yvCzAqqMnzWrYpd
cf0dRC6pYUtGz6f7XLy4A5/mXAob1s3i3WRZTK2nGKSlNplJTlCLeioyyYO1mHDcL7rCb4qxX2Gj
B2BOlCcJ924wXW9Dy6hJcMyNR8rt4n43uBmal5ZeaVOvb/D6ps81LLFtIyTtNkv8XJT2XkIiCHAL
tCVEfO91YXADmqn+YOaikWfJn4aGOFI6zWNQ5vrtMuBy8qgwYLdLvymSRBDcNM9v13cabGm4M4dI
bNyCpaej0K4Uy3vvVD8GvF68qAv2gJwM79ZRXEdkRuXZxJwwiRviPjh/GEuIh8SAFzKHg+tXhFro
DkBYbhf8hVbqmAc1ZC2hV9QgWEk4qbqOIOxUvekaq9DKOApFuLU7+T6DTx4t+UHeRfrggUsAi/Lj
v4+7/zcF2WDmV3TMP9dwCMPCC/8Hzdg/v/KnjGP9BiocKLRr22C5MUP/9bjrOL8BD0eo8VBsVmmG
q9JfLej62qVtC47HP8Wavx13zd9oQNP5ShwwcE3ArP4bbIA/sXJw3tDVjQXdtrl9CsNcb2u/qANd
2Xl228thX6ed9zj27XzH7gcj2/SS9l3zluw86nh1/V9eqH8g4RAq+nvrO2qExzUQeLjE4y3sP+gH
v/7kXqGhT3IY9rbVh7ukNWX9VoiRsGUyGMzu+9oApJq0Y/89J1y9bCcLMKvvOkwD/TAbdXuv5zVD
XdWa+WsIwrjbzAaLJgbQqFtZWA172zp7yP6YQ4zCwCfW9AbzCTztAEZrTt/v5thszI4py14wZH6l
t3h6myvhPWP+KeKtLobhAeYMeg9j9+ScxAzOmPOFWIUHQ/TfS8tJdhDfh8AtirMFuHI/Rrt5XGxf
LeU7kXg/7kxs6BXcQRVWvw95a1xUOzKx7TPnhQA0xbmMIy4Qdfj8xnhmKl+L7PCbRhlCuqUotTrO
rpj8Mpw/nQqPnY61BlVKHGG9Axkc43s37p3dMBUL0ykYcxqVjkBQBpSdFXo0EtRyNTZRT6yIdjBE
KTbXvKj6daZl3ZV0ebkTPZHQnqIgYlTrj20jdzhicywxxFHtumXONIk3MvGofJ5FtBp3COQ0VrN2
X4b5bmzpOaEegdia6dHR1Spfrb0eKsbcRJHueDe2fXNBNOyOS9iuShAFWdwNiqBC0PEN/Emwv5QB
wzZxthkw39Ut1O07yRxb6MrYUaspj9CHbRrNRcOFoO9PgFKSvYl4AmRtWvxesiJmYQq5B541oeDM
Br1IM3lL6HW/jK22HYRVRQSeI2rgSs364LgRHXpL1wJHs7VbxmHl0aia5DovOYp5aYGbjZi6IsRP
oKWA6uuUZUuXxsCAeInlrSk+Asmjaam3mUaIyq8Xk/c9iRfnNeot98aZE+Oddb746Jw5ddhEamlu
0Hf6a1RlF32icjwYWz25TYXXHEk9nCMdKy7N2vUpXorqpSDyymvNYBPA2oLuv23liJlB4Zu2IYlX
tu0nkV3dFzlYow0Gb0LY4AbLADu+vLUUllEyh2Z+yVVh7Nks8wJQQuw+FlJrm0ArLD1obDrWceIb
HUgdx3Zv9NYEmK6aeXgQDFN2VgR4D9dljc+j0RvnFZMO0YFQkPbD91LFfkNl13UeXf24QhHZbwlH
EuSrxDGjzr0m5OJGB8K71hOFU124AfuJd1q6FMBtzNnilGHYdX4HNnd4puOVoKMLNecRgpcwz9SI
t+PWlWPUnGbqFT+rpmZ3NAvjOWOM2u87jHpfpT2G3s4yBThxUzXIbhiYpHZlJjTucBsQXlYuWEoh
iTj4ZaPj+TXzNH7qRcKtLWm0c1vrwBX4n+mDCnWu/SJLTPawH2ne1e7QBT7sKHtXRXwxhnRf65q1
65kIbUhH5IeBqq07WkNBd1o9h36K5lwmyxevA6/JMRjCB5bkoFi07pDWzW1pL+q+SfUPcuQ2Bra2
YCvPowPjzfqmdJxsJyL+ImoH611UOMl9HGrdOrB1z/0yiW03TtX7Yrf0yhQ4WzGDRAlUqXC8hMy8
voqCK88mGQU2gNiF3oHhjxLQpYSUsmlnSU1XOianXPT5mYrEuwmGBhcyZXRmYBilsj8bYEdIpQ5w
SN+FkM3nUvtOO/kWTiUXT4YU37hP0W6HL+GBnjC92cRJ6AadTIbT0i+ftdmwfqjKsshV1mHgkaK+
GUyLMHi2mrJWWOs6LSSQGBf3mm6EiJMmlx69GsMrKmRmrmhNWlPpH+qOWUS0utMKmoZHoDVrj1zF
EL+b8S0NsT8zmDTwAU101UnyqawW0bsL/CTQSukeTHfiDwNTzjB45NVAvGEWWsVnyfu4KSaQEMAb
9GM0ZrcouMofo/DQ56Lwq0Keujx2bmphx6fell/sTsltiSyzz9sGPcfmSVFHlNrJr3EeRNt2WXR8
9CoyykCbm/Yj0ehgJZTf6hcKllS4ESEXY4IBGtQvV0K7n2KuP3CwXkgI4ZIjMvKpx0a/Bwk5Nbgg
Aa1IMrbDoeZ4auHIGdxbiATFs8P75A+TAcA4D8uPfrCte0z04Tsdhob1qJqCZbZbSpoTqg78CNgc
u02DmtMBx9a1HANWygL/hgFr2uvvNRQJBA9SarkwBsJd0CGphNYm0Fh+PCmA2YwUTScYB8Zh8GZ7
vJLkWFzwoCDdnsZMwL0OoX3dYpkYp+1sI0vlGMjvZ7d8CE1YHeTd2kDVhXafA86+nbRxJZmEfuJa
O10BvTNKywhwqM3bKGIc72Bic632nDbsTJJCBBPGC39CfINA8NFQg0F9HSAu5XBU0MV8TBZ0Hm1q
xIGUHRcKDL0BmR9ErXyCh9DKvTtwmQ/peg+WmNxcFU/WOZXRc2RCvWi6kQcg5P6AzIOxARgRGSht
ia/FVMPVSBP6JcJtQt/iDm+PoBssKYNc64yNTkPqxxSJjvawAdOVcs1NoiETYYjM/Fk1gosvxoza
YXbNOzRuOQsCvqQeOBim5RslvbyQ8D63hc0LmzdleFO5tGOEqv42yhhkYFW2h86TDN+W0tmkdtvt
K9s19qxA7pnwDqjBrMUbQqQvkKVlH1BdqG5MvXulzXx8C2HdTbzv+pirzhftAFlcowVyS2It2rfc
dTYYroj7g2MFA99PiiHC+qbGBG52QLPVPRVlHpGjjlInboDjK0m6/OpgfDnjZM2+1CTto8aWczQG
b3xJ69wOIK3TtTFKoiM+qGqED0cPv/SYFBCEd9jqXY5wxzYb7qGr4GCsEgMng8bUzc+igarpiELT
SaTmm2e0zf9m78x2I2fW5foqfgBzI0kmk+RtjaqSSkNp1g0htVokkzOZHJ/eq3S2j7ftA8MGfGPA
N41/QKvVJTKHLyJW3AzCmShhN+SgrLoMUz5vRx3jsEA7HwZdHGPY9Y9xaHvXIhjsJxw20d+8A+ey
qimT3gctAhMLk41xyFC7GfNRUwA7XarPXCs9Xkg9KVhTJKt9JaA6FsLB3Qi6eoV8y6ynmLFIExGM
v/usFNSJqNCv+CGUxT1sBOuJSKm+YrQGjHzSy74U8/AmPVNc9w0ujxUBDJrzyrLbOR0+xaMR1Lxv
vcRdnjI9z397rQpe0yDLzq0fDucwqepmnaWKkU0BN3rkaL/TES7cADntNkrKEpSxLfazc0G8L7M/
xrBkVfyWykZuikLk1/Cxp6dhLOTVUKbDgxWSWzeOiu5dpKpTbgf2tSkD/83KRwiUcVO9uTI6dJXt
rai8u20DrSBfxdaybSxvUDxnsuDknohuzYpHwRgxOgDKLk4fv21hAToceCATTphiuFlgqZ5oE8+5
N4C59aLiNgr9ZI/DhI6QgbiTU8zmrIy1HGDNXJSh0n521TDgmGsN9JNoVPF2sdCC79ki2N965MiZ
BQwYCAVjl67FrsOdUoY75ZYQnJRsbvtM6rWfh586re0t6dyMdQZrs4PCu2uI+31zaIEFrGpDqeiC
Trjqp7ncF97YHvDxd++8tMuZDBKnTW8qGWPzh5Asw3RPfHPLcDheK7Ba9xW2y9uxE8P0WbloqQ9w
kJr8kcrAmL6TetERNxEuePSpxXpcmbKdqHjDd8Uu2wPsWqlgsPZezSCykGP8hBcl/aGB3dkz6wIH
jpc+3vet6B5AFNrvfRXKp56ub5oIWid865c4XLY6JdofE5T6nkYomBaqx2cjnYvvqwHiS82Dms6C
A+rf1mW6hi2evroinWiSb23WigUKCwe2zmZV80wT75spY8luO7eH1VCIT3z68tlTQrVPAQwJcxtV
jXS3RPWccnvRFbdxodvtQCOoTXFPDNqAEapP5Vtvz8zAaGVmHInkoDm3d+3WFLOyaSPn7ZWzDhiV
sR9eVzY2WMZETX0b43VJNqPlOqfGqqlR5RcmtNVQx4em6t33fKFGssRJyBTI6T8drkS4germ3Hry
Ab/xJp7yblNTVHxt5tjdxDyHl1pj8an9ZPzAgq4PKvVShtiD9WbXFWZ5Fc7yXaXzdBzMiAsgDKo7
Z3HVQ0wFGBJJPEVX8gKaBPlJ71GQ3EyOHK8aWMdXPR/h5+DHA1g7S93LpG53heXvca77tP3qGQ6t
Y2/6odfnUlryFBq3z1ZeaIS9biCnria0a6JV+RyRaVtI2yI3n+Ik+KDS9xtj3vQANS9iLtfgGl25
TodcpIbwpw9qH9GlSHfSAbo+oCa/tEHYv46aNycnL/2q8zjeRJNyTwjK1THNZfGQ4UyKZUJNFIbn
M9UE+T1IkIbTVVr/laCL2EFHB30qU08LzYfHJRZiay9mfMkQi1adlSW3XeTp+2pp3e3cNl25Leza
3EyRhNFpxfVBxUXyMDAA2Lh0ddECpcf6vudO+kUMQT4kRWl28xJCOguq9g6qfHao/Oa1F1NKOjZw
Zo4HhdtvJ+C063ak/DnrzQI8isSiPeF+z3KXM5DRztuQVM4Jokl2Dfg9fEv9Jvr4HYJ6aGYHttXh
DDFl/qDhqLylrnfZLl1kTj0Gk0fDKY/YfC7kjlIT60h3TX2KOh75oWO99+uq/yCTQTyFVofPGU3T
A+3BldouB/8U+FzWsNzxdqXsKptkoFNyIaC4DUZvgKTLHYse7t1SJ/pUukP0QsNVd/Qgo7xYFc9V
h+eUm+BQboJ6zjZF4tr3PnzHY+QPjMYHQGnUTDunxCrKHzlO2EhTUTpPAedJGkDZ81ZzGbnfVL1y
w4L6216LGJ1ptUQ6vrJ40GzQ6oNlrwxVra99k9E3WVmyfjVT3YTcuyb7EVNz/eS3TveprYTZip/1
9BdMYVO+dV0efY5G5Bg0Y9aXa8zU6h4ASvyyYFRXN7qkjhFREcrPTmdB9BmbkfsVmSP3a1Cleqmc
YrnIZdXnNNpkZCLhv1LX2a69wlQ3MSe1i+F71nxDGuJQGeS7FNnkDFbY3tqq9a74JLu7lgQi4txg
PvuiH67tAWpC5wS0rVVpfjX37ryj6JKGsoAFo4rT+q31BdHLrLDOHiEUfKqCfiof4asZqnVZVeU3
ph013YZWTB4VQQW/XXmJAPVjbL9ApquSVY2b8GcQMtiFrZjJZcPjWkUL5ZyrCuv7a8YdchNHAOxw
MVrJir88dr9BRlyonaSTxY5TQHsziyF5d8LUfvI1TWwMvBe+B7y457kKcPhZcVy+yKL56bK0CUDo
zOXn0kbzT8UZ9JB4FssQuJtNUjSEqgfL2qsp/cpiBls2gc/enz/zidocw9a8Ho1x12OixeUw9sIi
Ux3nliRBNDr7uE+t61ibgJ9mZeFOwRlpqeom64mqJ31wNmkn7+DnFTeCuAPBblkwBZiiDGhOiRVD
luqAn5PHwWLod1yKtq+AUriXbarYEWmhg93Pqb0PO940a7me+jk4pfGcbBh60DIaRuIr4fH5qkHT
LBDwqoLfnzfXKhHeaeAGtVO5a8569u9nqmL27M3jOYsspua4bts1vuRxn1uUkwM5bulHF3eXmdC7
UJEEH0iJg7uh3UHfcbIrsFuyXp3ALiimXZ2X0JCXSFAJmovnyp8WyfxtMdhuk/xF5H6uViFe9AeO
Bjku/CSL7sgck6sf/e7KSCDYOneRaDoc35RK817mNFybHDYVkQFD02DaV+21bC/6kOwdvF/x4Oy6
tu7e9eyKk676rFupxGIBl4P34KZ9c8IZlq8rXGL3iS3ck6gtsikR3c7XPaD1K1wuGvft3F3XRtTX
qUyDs7KpVSxHwBAbCufKt7kbzB3Dtc5sPZfykFXgF9m2gZQ3rhZZ620s5z/hAo6Tamz6DGJHfNMq
lB2GaIkeFSvTigo/WFNNTdW8WoJsF+ueVJ8nFlRWpm+J41fkKXQRnKbM1A+LNcEb6RvB/4LdfaWq
cfmchtw/1l6tn5XXsAqS0m2YNyoq3xhe2fhva1h4nnBeVEL0dyPEwJnLl1dux2ZmoJ7H+LC57mHw
ax3rOTADuKSZpKE9F8SnRZ1M2A3yicYFB+zmHFgHk6v6aFUCfqZVNh8i5QBixVW66Qq6thai5FzX
95ldNHcQN8yOPiumivRhk8yrDCEQGRQ3+eSPO5dkBA0giaZ/aQbfvpUu+JSsAlC2VoihewLvLeFI
ojC3hNm6F4UT+AVHZAwFdaZSj8kV0b9BaRzNeZlxTx7T+inrOIzvUq+b5s3iD7rcWTmzvOshSRxG
snVFtKpg+AGAJIut11LLDkE/gbQ5cIiGLJfo4bzMSZte4wFIH4mpEawEJ82wd/FIZ27IEvU/2i8W
8CGj+sicRZ2DiaKFHeUjVrPVWql859FRzySkScIWzzEQkDXdS+65I7mbrceQQMClYqx+7UmXfA2W
oNIiJM0lD1PXRuq4MOp/SuVSvjVuhDVCl83dBOotXsVe0z0MsBgZt81OcF+PDOLcQYKgz8w7VWIQ
egP8m7Ydhh9W5SY7iKFgtahtOXaBU7zo7sIwLIOp2fUqIQJY2jmDFHPgU1i2HeSvW5V2PqCPKqwe
jRmmjaBx44nxpXcMCMTd05bGiEGPQX0T94tFer5xg2+mBsrDjeeE2Uq0SAf0xVtyY/mkhJghU9XT
UhDzlgaKDYIR6nwyhfS3ffKQEljvN3GpwqfMRCWhIyiAGRSMjZPDaokcdoKrjm2mWKVAxb6AhdHr
gkOih11cgVdbMXX2Hqh/h1ABRzPHb+PPVrPGw+jgGa0CLD0uwNsd24hzn8vQPLizs7wyOB8fLNWX
M8S7HDC77PYwaNxnl8DVHUw2mlsCepp2JKPmTZd7+g7s/8y9fAzUh6mz5D2dVH5tLHu4by0naxhB
2om8boIJ1cW2c35NMBDfzimnrLXxreFtXgx9d4rD9S7xJr0nhDXdTWGLk9OXZO/WGR/EQ0XgwIJL
SX9yZCeAIlNp249xdKE0ppB0HnXq4yi0Ii7QoVo8ttPOw6mXcJGaCte7bcEIIGhXAlXXLe9myys1
pWpp875MQXqrFk0qZmgCdRIdfoQV6A9dYnFo7GdqnJxr+pRwqBZNCpOt65l/EmuGZahnK/qTZsXy
WYe8PNsx4cC2GmhHiQCyoHQrMCHlfmmH/JWnbRjWZZ6yEzD1nO464UZ/RugpLHC8RICU8lffd52D
a5vlJJwSh1ESiT2Jju6atZ0NqAvFdyf7NtmEZDj2Y21Zz8pK6wfo2/6RZCWlQqOh78dN+p+ulyke
2ZC1c4SwQ2eCmaa/SkcF8UEwKHLM9dooU16VcvGPHus2On2VP0oIMUfLIZa60KH5XerGraE8zHJf
5zRwaelPnNHiovm0MZolWxwb1ZkrEtPvuuyeM4T0B4COOXhDn/4yp+UXuCS7LiYaQuKRgCxUTuSO
1L8AVjIxbns+w0ewpjT04QAKVtofwydrsd1oTUGek26rLrnvC787gxr0UA9YW9CyITxch8KYezLY
+XVN/8+THUFBBpXr36upZJog5qL/wMpD2FrYl7qeHqsrBjN8I3E55mdS4hlwqFA79WMUVRgpMiS2
hMPNjSCv+YC4VR5yYSfnzvHqtZNN2IYG0CZkO9tt29rJaknG6K4YZnXkt8V3vN3W12SDGeVf35Jo
gC1C/PKTK3Nw24N1uZ+n4pv83qbIepiPCaYuR4fzSZm5eExHd9y3lV9hWw4f55TAfaZwNlzKDlFu
OgEk1B1p4tOOUE/uyN8rVD4vz1ybjYTPpUF2d+Nu4PqKQkM13MFKi4jAoTYfNPEoynuEXZDjm9oz
DVRs2LzKJGWDnl1ugAJzTEkuF9QlxN07Sez2BnX1D0FG4nC16by7JHb806gq+TAxzvgosfHjp7Yj
3ARxj3yT0Lh1HEV8xaoa3Vd4lgABM1PA3ub81GU0WKtONCT/7Kqz0jVj99beZN44F2uPI8J1b/nl
q4tZmkNnyJElYcKZ2c6YriRqCx2wdv1ySa0doDVV+PRwnU9JG8BbEu42gFBS7YXrSXbTeEK0Mqb4
UDT1ndAOqXZUc/BDwLC7Hq0sZxZsB+8COmS7mqkwsdYZvjJ4kx4HWV+jW7lLzw3GsZPxunNASxOL
hgqJmsO4t/Y+a0+Wcp3kxiLxhXtFMiNJgULBsTGTxyIX+g29ZqZLHr0SzYfQxPiU+pP8BswwfdEH
aZ6aqe/bFcnAy/ofXbiAoQaGsrjT9NFk6JcrVoX4hREpR5MFiMOle5PFeCCKhA6TGZeNJjPJabSE
+Mpdj3q6sY4Mk5SZjWsuQ3WIKgBk/KWshUe9nUj50wo2e8DagSQD0247uECbOnaIKlNbOL82Qeag
25B9d5yaPb9sEpiOSlTRuopAMmyMT1a+TyNWbzM62dEPVXeMpw6KqJfN/h9i2imzPIHiB0uzYrdy
UgrDVnY4e7d1kSZkoI0LBF8n7GIrbDR6WCnVu81NOE38MVlGtw4JWnyXVF/Yz/nQoqM4ZYalyied
bSLLOjBkL/yN13aX/zDy0q1gJznPaLZuvhoRRGlUKT3vG8BbeVujoD6weXF2ydkuqQlmaz8YUUCC
Aow+vTFvdrYtHSBP8eV2VQTg+WFgTLR2ow/iXhQgo9JcnIJwcL4zWV02MdACVpS1yRpLL0gtDxfB
GpRdAYBI2MeJoplbkizDGnYgQ/KCFDYyjbMNAmXzZg3O1tLjg7SYjMLr5nbdvfUcwgmjl5BtrZI0
c2Z3G0hbw1+79jRGwja9dS6rc7wQq/B9QQ3fAJ0mGvinRXv4Me2+E28CVultFyfZKWtHZ1tRMhOs
m2kAV0pu+S3p6+WhHYbypsoaSPeJbW2lExWH3PbFn7we/G1cBy1FrVVyF2Efbtd1OqabPh+XP13s
Jlcx2JVDu0AQ4bzOmLgC+LH7/96g/x1vEPYVdGOFV91V/MPFGvIvBpj/yRV/8/n9mSX/mvT6D7/A
Pw1D4h+uE2D+s1X4S78h3/Rv/njf+YeHego/mVwYzyOWmv/qF8JK5PtEK1xp8yYHF0/9P6E4ICv5
7jipC5ivoIHl/1G7VuBhgfqX/AZDcfmLrOTL/HdOIZmbKrNZxq7y0S92MAsZyup6jMN1UBekM9yw
XK59qwz2vdt2dCJ6/pHWJ5LZgzL6dqyRuznIg2vb+FPevpCYQb8Ng/ml1gVcuZJRfM0VrECOh/Ab
nqko7h78TNCs4XO3ZFxGW0dKFiSO4QnUg82ExxU47jrdgG1CEbXqw1BV8sRJwD3mkz1+DtFcomNm
HsV/Utd7KOQt1eweQHuK5jslrsaZBA7VRUBF3Cqc5v0s0F/wL+YDBQSVFVncJQmNbvAj6eaoA5U+
UHDlkYda2oYKpr54ZKGfNipjeVlPc6vewSkW99NkzyDvBgdCXKspC9wR7U5oZfAS8d7oOUP3di2K
c0P80OcJFaZaedod/mjPmo6hLuTRZss/e5yFt02QOtB5df9KIaN3z0y/OHONV3vLyPAKm+uyH8TE
KNJSfnQzeMrdkBdotgCnCbSr0Qp2AyNArNJOn/wJ4eywQYIADXEqqqEHGz8u17Wl3J+RDtJH0cTL
3xToGaGbuOYQ7mTyLuQia2+TTkfgtqSOn32Z043W94W5T+qQbjKtMe3DjeGA36OW7bM8pctRx8P4
DHzJekH5SWAHjb54DnobB3aomjnbplx679HAnC9tj82+XQKanR36IzCbxt09W49FDrcuC39b1MRZ
kdcN08WkJcjvtuWVzyW3OzAk4/aa2aX54MoMns4jQPw3LqLpyRuqERuLNHROB6graz/qgxOea2zz
mK7zfGOw6O2zRnfhnRf2tD6YWZeASMMBfWq28io9jYs/pUh9TSVBXZeWu4MB4/8t4Y3IDWMqLyJF
VeJTI3CAfdYKC3R+47X1xyLz5E04NcQS1JXyrvDwveEhK2bmPWNejFdeieqz5oMlR5lKaJUrFAG+
T5c/iFZqUNtnjy7Ylk8fFa/o3Ogn1ejGxzZ3or9ZpMxVoLG2/anzQRQr4A32sHeLaOGRmjxT7aAl
JNU9ziD7pg8JcGC+yoMDoIruD9fqaWu1NTqsSAv+nXOUdYNLpYK93ffhh6yWRd8TMFZ0202Rd9Ac
BZ8bE8vv2VvS9ynOImYyYYRHrkwLCOOi8nZaWJlkzy3HQ51wrkV1Vj4KoYUP9zKYyikIrTLwKkMY
97s5FDPmIDbMv+HQKgcPQIjr1+cSy5nX+A+ij7rDoIZuWOVFPz1aDFm+wtbrXjUsR4D4y7Lz+s5U
DMonFdBSHKJqEhh/HVvPW2GWqq4XKJY7xlBCbadAX7IdQzRsCwdfDqj8RG6dmtaNrYWKx3RIg0rA
8JNdl3bmJVulFcRPHcnqgE4wYRnHv7DyeCoZuIiRiXDikYcctK+2wJ8GRmr5dJmK9X64Jg+DASDL
57PCk0ytNlTRaJt787QnreLtcWMJhM6MBK3Dj/G9DbPl21gdqRfHCDhLhbEQJZL4FEJbogu7kv55
LOr0cRgsDqD5oOyDGNVyJXEUnNNgHO662FFm5YylRbCgL98u1WzbAX1s10VR9GR6lhwCMPHCcH5E
OfHCOiUOKjj4UxSvP8p0rO50DgqzawBraE59B6IKy3ePdT5Y09pQ2fssq1yikcPFH9lndYJJfIzr
9xqn5jv3GwdvvmvjtPdQgVes4eaZnw5AejHHNiYvvBVAUJv5aHkTLQNESLEOVoGucKpbtIsKmLM1
z6quvvCTqycjex7CRvQh3omx0R92Jes3slZjuGqatgJ72ksga1ItTkLYRjN2NX67pHsOyfULwE+d
nZ2gKgw/EpdFB5cddwiSqc51omf4gwMf/7L1U0O+VNUzuSkn51h6aMXcuXd1U7cneEARwgSCAMfS
2Alv28bPv6YkTn4SULeoiyJ9AhoJfzJEiOJ6kGfBXjeUwaxzqmu20WzTFg+JNb2Cb9VTS18101EO
DZMvd47yY4+hZll7A1nMdV4ZmkG0M3QbQigIeQEYxLFu3IUxGK1GA8UjBxskKbOBnsn0VNjetGuI
+d64rW0xvMLrQy7ITfbDdNf2E4XxSdVdZDdoZDezphakLziE09khBVo/XoMvv8nKrcjday6yI7Gt
HEGZlpGheagrv3tlGjoeGSMJSI6zwaPXcS0jVkb9zyamr/vIa+PhWaR5UEP96q7wEjKqysELYCR7
h1sbXhtFQ5HOGqb1SRnmx8QduQ/b3OmyTYqAKFYsOyXrkGftW/uMaevBsWnnDcSwfOfsBmzUeIzy
MsfpslQT1fZRsJZlZ84lfpsfGknwhcbGPbqh+vTbUW0WRI2rZXSpBMW39uxOnnsVZJ7Pq5tjZDXw
8v/SMhwN6yof6KyxbXeX5WNPO7Yf1Ec7MsUWglB/FYU22RqXWVK7GVNNUtVtDL3MldiEQ5Sdco+F
fKvHsqkRJNEX1zKwLcICCub0OkFz23d6vkhxaZMdlhS1x9EyP048auSHDUydMJXXPbILol7dd28h
z9mm88rgj5ojVHlVyuZOFnlwJswCLM+YksRGHWEnmyznm8udA/XbLh8YtZOpy5dUbqGNyCvhmfpZ
lIzmcfkuN1XYJG/QtCht5JK4dKtU0QuCy8q/LbNQ/SGM54ltG47VGnNR/WHa0FsvpuFW7HTdnym2
63tl1HQqW41zZ8x0fNt5nb91AQ3uGeenYIhAfdDy5jn+R7G4el5XfT49K5kyQ/Rw/f2Nkia5KyLL
vdF97RcYk3kLcScYmw2UIsZ3gur+1mf892hJd6CNR0Txuy8uZRBxOkwfFqrJR9bLNl1poye0f632
CRP7u5Cw5zGcxuyH77e9h3g8f4VLn3J9r+eO41na5mB128A8weoompXuRlDRLqBUJjrePD8EcRtg
vfTGl4XA6M5vyuIzdBRHDXCI+GpMF43U6LRYONZO48Z7flTjjQ2ZlNUhjdoHnO3kvSqKZPXKLDkr
lQPpPN/WAN7So6+tvtr3BqjfoW4Nog26KxP53E7s266u5avjj0TlHRDuM/JngSdsaoMYK5nTBtdp
7C9Y1uTUGST+kFtusAjse73TKMwl89i+j9gI9aZF/6vW6ZJHp1Q5LlqhUdQx22W4rCsnNZ9x4rOp
jZRGnLPB5/PvAqA6Kwwc/ZUzFfmLlElzrhss0egvrosMh/N5wDu9thzhX6edF9xd1Pe/6S9/mqcA
FjX7LtQvH2spvMcLrnqmRDvZkmflrRvbLikJCV04ybbFFeae2l6u6CO5oCv/l4XNkAEudv7LyAab
aIaT88vO5qcQx2t0DH+vbBOccxxjzWYJL7xtcMDyh84jet1KemKfQw80N5Nx8R388rpRo9jJ4UGa
nsMqfEkIt81Ur3OtoUB3JlknEvy3g1B0Ngs+/zm80ME5Yy6M5YJ0u1zA4X1QUszntyxRZRcorLcX
xjjFPM4Wly0s718GufrFkY+Ncxa/jHJOvXCw2192+VRfOOZRnFs/eU/JHLSt9hD+Es8XOliZWpTT
tvVdXhPJvrzhyYaTjk+4+nR/6el6gDoZDZQbN7Uz3VfEIeZ1WVcj/u9f/jpPFWOHC5Qd3Jc8uBdQ
e/bLbJ/VL7/9l+Xe/nLdfb5kTFPhhfduX9Dv9ehDgW/CKP+paCA7k7LA6p2LDLJx1CCkaWRnv2fu
0raA5c0FMa8iF9p8JDgBruaYSFxcgqPvF1J30S+j3rvg6pMLuD77ZdhPF5w9ZknA9r+Me4J6/nSy
L+j7wUKTg30DjC3+ZeM7v5x8/DHRkWrz9g/KCYfmRdrxmZ2bqhQX4vB1EFXloTYiq1eMqdy9sOic
GhpSihhpp23cEhxQDvxAGpb95SB1oiE++/02rBiy9nPXn/im5RH/uHjjHABlBJljB+Kb3Jln8goK
HMLoKsRat9Y+TutJZz2B7B5pqXDzqltFlDIzkBPpAxBSii+hWpNnDULshyg8W05w0Rar3Rfn1HAv
eCe3VY8FmMBd/OG0hfmaBcjnlZXa0Saenewj7ir/IV7sDsuuLPRxBKCxXyC+r0m6TE9krO/nxNjv
6ObJg5e2vJfO5MOeVd6ECDaMV7LO42uAThmfu0oJUua4Yic/9agBE85r0y5wtiiVU5cTOumShNk6
NjEcL1DlY81pNkvFl8cSc5VyLN1mvDjdaSzznms00cme+irOrhZWl03sLjTLMGzCM1mk1RPSYrDj
CKfulZrko1zgdfmqs+6rjowgg2qgmrFWwxOWLtJxrLwOFqEg2PrTkDzx6kXvCXZClraoByIZ0qqI
xoMAuspLUdyWc50c3ShR9wNOJ7AmQUBC2lUiO3mW218laeLepowPg1VUan3X5piJN54oCAqLnna5
Ip5hjvbaPM5Onj73eT/c4/zw/vDu2vd20oZ/my7pdm2INIOxcSY0aI3SfnVMxanezvSBlk5N+FAQ
+WU+LdeFgemf9r1jVn1Q6ENe9smmp8eAkusGelRoEXyvFeJnLqdrK+cvm/l8ERheSPZ84pXaeuSc
Xlu2OsRj2ml2qAJ8TfL1j+jbwZMBjgH/rq8dYJLJiH8xo4EywWx4qigfuGjRY+8B3krKJ7uwKS+W
A6Ys6fz4XAbZlZsM7+IE95D+scl/uWyf2yHL4OvlkxxR4Zkob+KlqYJdP1SGceo0r/8zl/Ocmjc3
v3JnjxNN3k4orgrzAj7TxLtb2FL6TU6cvfu3yNj/berG/0OQKPsyqPtfjQ1Pn9/J/Pmf/oOE4T9/
67+DohjTSeVTNCw8QZ7u3weG8h88FUIInIiXfOF/Gxg66h8BvwEYDFnCkJkh38g/B4ZQtIlQQdFW
ykeMgNHxfxIwpOP3Mhn8V4CSuows6TBxPDD4SDv/A0Y7ta1wWjhc7qa8T+RGtHGyt7s2ubMsLV6w
ltqvQROT3mYVym9SkHP2kVmgOQQcrh9L6aR3bTPETHvGWX57aQYmgNxivY8q7rg3SDJ98hLTCk5W
H+vcCxRrAsi142wmi569DkM6ttTp2fcA5vPeDHd1KV4WzbaFARy9x6uLp5jw7XfvUUPYikJfOZw7
jmrBY9XGRX9fZPhGGUB60wXUbIoaWRCtxjizAV04dxB3DePPQNgQN9s+mAn3RQCedary6ui0zbmc
VLGch7Bj9VNEuh5r4PrDRqft8FjYVREeFzkivYYih3kQSCcZDk7MEJL8e1R/W1bQA7MjA0BYqRCx
ueH+HoZH0uu+v51H6bQP85zV3xLdM90jimTDC5mO8Jtr1PS12GNlXzlt2BRbWjEyeuFGi17AMGyx
U6jMKe7Ql8vxuODm/jGRz6WT8uXmg1SQ/VQph3RWGwUPjqR1b9QaIKbr0tdgJbXYV3mgvujzkMPB
5c7MEhwRhgGvQNXhKpkQrtTQVjtbQ17A8CwZYAAPe5L48965suKab6z2zyQ6/5Z0E0f9LmgQs0AJ
EhDCtnXtMw3cA/4bA7ziLW3BAzXya0Nt2irHwsndP62XK+9SoRqDZrhxYaxnHziZ1BnYH6grIowC
tHWAe9zKEYWwR+ermuZJkB2c9dd1T48NZBAWabcElygzx9mTRvePVq3jG1lmf/qCpwW1KANZRHBy
vaSxfgw6zNTdjLsFEAqm9iDCBoYsDu9SXuLaFx5lB+LzJ86L4FW2BQ+5LcjMfCQ1KUZqQoY1R6iL
V4/un3iwrvTkxRtYxekemoNJNqYI6U02xbmmE4EzS5vceN7sPfi+F763bZ6e4jHt1DbHEbdvjB/8
aQtHgSQXVv42cA0FCOF4k1kpRrGUoEmnSFf0BUNbymFbMYRLcl0fIXVYez9Ymmk1U/1xwxQ4RXks
z4EexTatbNnspYaEU7vhEyzi4b2VfrkWNY2ba07dXoLoDvt+RzVTwLghwnKBltYnuHarBDDGlOD9
KxMF5mSyrXE8CGqnAN/2i0sEvhApmUsn4MxBdVTy1o240FeFHTO6ZMA0TDfAaKxwk2RjM66hyGIU
wnPjNOvEorubnJDtr2rF6B3cdMvoJoBwSC9u0ctXTMuNdQtpIGlxWqUwAzijI+7LoXPmdaZG19uh
9c5ioyd+0GTzSoDmHCbjcrqVjR/3J2L6oyagqnGyUCMqy3MSjGB7Zx9U+avh6QpWginPtItiK+Ca
NSaippuRESDYjbG6MgmjCqFz7xB4pBofs67ClwMpNdR/x2GubwbOjbzYXo1cOy92/sJ9rXfW0MCz
v/lownbrRlSZ4zoFtruJPf/SgktT9+WaZlHqWPY2XSwYMn84pTQIsu4Yb+nhyroDTyZaan2RVSGY
SSRFpNbyIroqayIsK0M6fo+99NovN8xbEnAJzqAIt8+wSvlfLBKT81xeJF54/Yugd8SW/4W9M1uO
Gzm39auc2PfowJxAxNk3NQ+cSYkUbxAiKWIeMjEkgKffH9g+bkndlu2Ic7MjfGO7rRarilWV+Q9r
fWtHPxEfPLORRALTaEPwhua8nq3QY/DgleyK84+9MQekIDI362W95iWWGyRfbJlzAF2MLcccOWNW
Kf2FPWdwOeRe9Vijimcagd7gql8W15VyQrLeG8AxnEOxQYxXqA90ffpyCGV4A/aUZMVgWYVnhj/e
euhK125S2XdEK8ES1Z1HOkq+bNEjaYdUS2yGjpac0nPHSpqwMdY4VmU7j2Xnk2atCEnGNuIf+1TH
LL65IkukS6zux3go1qQFjmgmUwOteEwKyt6c+vCigai3rozWIcazZs2SuFVzDWKj/2ouMoFUW+5n
Nrj50e8HYlnUEN1xW6bBXlqifcDhML4g9XTf7EV/oFWJPsSr7kOOpXGlJcyTbTLU91nvjkjs56Q5
SZlz8gaWiA/IFx08LwMhL1UFR9hzuwHfasayZRcUw6wQkPhfYoHqcNMvyop80ViEAyUbMDp3bUbh
AudBhiFEaaABR4SpD6bdO1u8xMGmsIv6wCqoptHL9JX3IfKQdUdNOVm8YIYW1jfw/8ZFH2VOsias
2mouptKBTdqyfv4kC72kOo8ld1c1kKTeuOi0YYCgSKk/1Cns3NJnj3E9toDJAU2Uh9fVh6LFQtvC
1awu5kXuAqkY5YteRDDNmMfEhC5LFkxU1Z236GXK1F6WLu4QXvNcWATp0MSX0Poa6XY939lCJkfW
KUhxIkQ5rci+IdsvPvnkK2x1VKbdFe9e9cVkiLJhcWLsM9XRI9ns/3AqvA2LOihZdEJULiPz3ap8
YqIJViA00uRYwW0izKPHSAlTm++bWJymi0rJbCyUaWUfTrcWkp/mvmoL42QjUXoGS8AHLHZ7nPP4
Zwjn1qoeNM7otnvxgTQ+t0Ez3I64VJwjIXL5U63jOL4m87fgy5i51Uu9CLMixPzVCqEFgazth35r
gk6V7YZ4EPehO6F+cbxFg8sGDFcmdDA2W4nHlomfxmFmGkIMG4UeaO3Zkj8k/9q7dTOb6b1uOZl5
cy2Cv1owUF0XkEPN3y7h5cSSnaw3ktgz6+590WHKFWgHbrBF5eYterdCEySmFw2ct6jh8roe5lUr
2IduPCJYP2H7qvbJoqNLF0Udgm3/FKoPVbFKi8fMKooE52vLZTPxy2nXIh94hkPCH2KC7MKDyso2
2zWTM3+VH1I/OTpMfRb9X9eOELnadqhivrEuiQD2OCX5DaNldeaNZ0Zt89ertSwbVIeI2CrUqcF8
R2GaoCeBz79CWB03GwaXrDb5mfHeDrP6OYR5z/fNqfRuNObUWkU5aRmdJ5svVd0hSEzRQX0l5do7
u+xcvjp9326HiDkPBZ4RneMaldmqsbz8KHhKW6hU87RwNuvHLojl62zWEk9PTc5jynYJZm9f+3dJ
PY0Xqm2qhzrseW5K1d5VHaRDCu6BRSji1djZkjhS33DqTxuFaXA+UOww8zeZnH6KUI9y7miOydYO
IT6VJCivFLOXnK1xVpVrZ5zkc5BmXDUBDJBrVUoEW00/9l+7rva24kPTWso8v3aYQ7rMRBDpIHKF
W7Ii1my87JTVu+s2MOdP8dyFD0yXckhj/LArhn/mgVQZEktGlFZPZugNyX0+9uGNdBOnYN+EQLej
tuwY4ZjgdlpuZiJEJu+UFDWo6JT+Gu27YyA8E4mxjA+AcplpOOy9DinhyrOUuCUyDhl0UGn73ufW
2TR+3H9O8OrcI6cNbvSHKjlZBMqF3XnDzgzxblOSfMibuwEulRpi/37ww/SaJFy8QHg/p2vPkfkr
QDXnjmUQu1v/QzudGh4t++AZb5x4zJqK1mffH2TfEK03i6zI+xR+yK5b0/DvzEWLTUKFYPufOOma
lTFBBHrqwlPi1+JLTtbXTWkq46VmfHBvfii87RbHaMWq7Z0opbS5mBkLRWTKeOWb447d51mP06GY
C5zajZcTGIhsLlubH7JyP1HTtEkrTqGDlKV/YDODNDUm+piRZ9PukWt055JZxxpWhWmupQfmyZp6
1a8rtBAnMy/xxbPwnx7nRf9ef0jhxSSkQAaYjgzI6gaTW05skBGnaov0nRieuGU5VfZPKBEJpFik
92Tr9DwRWz5HizCfq6k5jYkTHFPVcPK4MT49DdfOm2z0juki8Dc5vFaOkXy2F/G/q8h04VM4MBMP
32vhHlrfUceR3AdkEl2xc41k3AeEle+jdIq+RYuxgLByzr8pNFBfjnSHyCbQgnSsKCgR2EePJM/H
YV3fkDiSHGXWtDvUGxVwVJ2fZSz6V704GwSx2AFCLkojbAH1g8vdt/MD3R4g3seAXKt2XYfJXQpG
ihkVT3SaBeFIzGZWYqijc+MN6b4JFbZYrIcX/eK4QNw5s0bSr3QPHeQROH4rbmK275Vm7IIXWbNL
Yl2PqjF4RutixRvsSd1J8wFZw6pUZyXRYEL7yE5hmw9fEVC8zR9WkcKNluuUbqxh63/0J4VyzbBn
MtTieIfNgK42XdwnAMOrLYGyzlpWzEFVjDeFoBP/titNFjsSdP3ZR7N/gc+iOZIxJLNN4Cnz2puR
whQGdmCnjh742N/6bnwexp74F+3euCJnFu4VMymJjGRbJMAr3s4B1UtMxoWcswQHW1fl6wyB5+ca
u82jGbO7oPtk1RtW8pPPWO1rit/qhq0u6k0TOdHlhIL44NuQ/OsI4vUeizYeH3Ox+/j4fvKmVdd5
Sfhs1HaHfnEH5VXPqJ+lZk/eo0K3nHveEyl3w0szt5flYjRqC3xmZCvgPsJgGL/YiyUpptxYBz24
vGkxLFHozedhMTFlxdDfY8vjngtgq8W0yjtJfgLeDmV4x3Iu7avaF/qhE9TmU5t3EOchA3yREf6o
zrIHDPg97M3JaV+CKo13RSjGsxdG+j6KvYI+pzN3Gpv5QSGa2DmG5T8GlWShV6GBGjaDGmYTyFlw
U/BplFvWZiyz6t4qMWVLJCZ13lfY+m3RcYVbEqsKXRvdsOGwySspnjaJwapUFFEnHkQ8ktxo2VVF
Z9KxPu+4Td6UbWiHWWI5HrI5rZ6hBTCe6B0bFD5hhU18U2aN+TlCvUT5jeypzhz72QZKgz2qsN6A
8NfWKl+AequG9+HY093syCChkSBLIP2cy1F7KyNo7PS+adqqOowxRrcm9rtmGxRyxsPZeEfBBOiI
hcKmXxid6sbCauMflgHJ19gzLCaXsyCbZxhxczluxx0G2sq4t1o8DZ0ecGxBrbhPCtF9ZcjLAdBa
5cH20meVQf5wSJuqtsWSdGpq5iz0dYW18aPae8Bx1x0IDsZyHJNW0K4dVp1qi892Fnu0qY6xc0hD
7VaBLqvgM1Ik29w33JrOiqC0pWSMLwg/2qVaZfwiurCfV1ELJ3OVDaH53phjfxUQRPFoopQVq2Ry
op5/TWRPaZWqExOcqt4h7oFXRTxlcTJE5pQPeknWqjpr8C9KQNXtGWoF0SVzMpEcqQ0NXoLYug6g
VVjKMtxK2re9w3BOcCKlJvA+y5svaTrVM2lHc73TGtFRHrcaa5tjPBBQGlxgfGzXlJAQHHsiYvjK
peqKI9/HMgKu7xoFjPtaZH3wyGSGFGvuIyrpxttXOdxF9CTy1VUxYR+o7ZyLEWXFzgqT4i3DTRsd
ZJClJOgB64RQhZia2Q54SI/lEwODldPYqlv7+IUsdpeNvsxycI+0hX3MPKIA/roKyGQCO9hWvV41
bA68tcOexDwThO3hvSE8inI4Sybi09DPOIeWTizblWIKiv0gBnOjcq/Di4f06cmJ5FIqY2HlziFG
5wGj+0LUY2J5XdG+8P+WisM9Kflgrrinc/8kvdL9SlgD4L4eKfs61xOxmpgfmQt4BqEaSTmedNj4
L3lhNY9+aQVPs1/hoo1VwvYjKJxp3bpuAGDEaaddMMFr3aUFW0Aq8WI3zE1esMPtW9o71knwafFC
4XRKgvjZxW2+r/zeJ+GmCiB34cowdp3oUVunAbsL5h9wEm1yuwFHLe5Dap6nrCXSdG/5vQSg4js3
JYLSQ4HblgSazinuIKLLA0HhEm+EovcAixuTEGQpnzVnhp4HFlTJl6R02MuCnq2V3Ed2CV9npbuo
bI5ZqKIePYkF4her7oh2Jxq/DD4NFq8kaD/3kwAG7PcjoSBa+Hji7JwlK1jPiQHakFMl90ViPQQi
AKnldjiXoho755kAMoROsTdkX22c9cwt0tGwduiISBIqB7dTp1D082NW9TRdfDyJTMnjkWSxlWuO
oC+Ar+7LCrQAAxGQbaQuV3umtcVbJUv7EjUPeowi7/HaAcxX/nXaxx2KRS97lNqEO9FPkc/LnIPa
J1JKsLSCugmwTfNROXVTBBmhUyzbVv0Qhw+E1tPNjzbHD0yD7IVVfMccxLalfcE5wQorNgntQzlD
TNQxGCUAuhjZOpKbcujnDaoS8aq8Xn3CjpfQjKUlH+rcZqS3SoGIEagDhwMlDxqgbd4rbCV1bTnx
V5Z64jzaillpik/hKhtT4sbY+UgO7CyGB4KWDPFQTuCuCRSmmwlsqKxF3J9g2dwM6dBcZaQdoeSc
8vGLH2WAcRAEfOGbpOwLZZr9Pm7itr9oTAie1MvCCTeG0y7erzRLdqO9wLyiCC4zK0YyvhibjkX5
CW2ri1WwxnBg9p3018DYPBdebaj3rk8Cs2G3HhlopJldgEUhmpIu0ojXjRolrI+iLrKtTRb2rS2j
vNkHVEaKlilkSc3es98OZAJdakxmeq06zIHSzDBG6Lxk/JWbYeciBeM5wO0cdwRFg3OdNF6gtcG6
dl4XU8McLVUmwyQCEzgHZiA6V+3c4YwsuNlowXxg3VGW1TTnELZ9lGox5CRTxwyLpponHBsQqC9b
YJzRriit9yE3gjuF75zJY+b77PFrALxYF+HxeknREDZcQP7dthyb8crvpHHLsnUOPtspIc6xPwAQ
D7JOcrlYg7GjrXfTd5csimciu1HmZamdsq4LyBmlcJWk74j0Li+C6SAAfQ071tzic5P2zXkGXvMZ
oCGVdBU02U0hi6fGcKJtnQIYO2ZcIluwOYRoy44Y536Mqq8sdIy3Om2mh4xVO+vSemG2CI7d6Vxw
FSrgFEV5RQ85Bgepl1l2PoSvFHPqxcyC8tNsjuib60a3W5q15EQmOsSGrl5eEYo1hy2tb3OoFu43
yyCxgKmFsxsZKJwZ6bhkG3v9TWtONmKDsnZIQxZ6Pjh8cO86qZu7aB75BmSs5jeJHdv3C2uCBc+M
mCcPbGs8J7JvdjPzlXg3a4FVtzRaJlFW0wKAjVwcqtBluVD5Gg0Oc8s00dkVwwaUNmhFkUc1IGf9
Awwjh/VM0gVg1HLbgsqQ3BNeSkQXGu+vhDJuHQPLcmNm1SqQaHxeWchIOgEJgULiv+duyxL/Pqc1
WQ3wfJsFvRU/KNsKHqhF43lthgn4XpNVlEHZJuUjYtn6HXgntaijmAOsg9Ysv9kt6ajrwMmKTeWP
DPtlnxKaZI8IL3HhFFSUyi/3H0vH/9+b18v0VSEcfO/+7/KTX2s2PSmxXh9w0j/+6X/Tfta0qI1/
7ey4XPLUevW9tcP6+1/7W96BSyQPS1gHnx3uicD9u5+DJAS2rCLEie3ayzL4u/2s9xvRA4J5r2vZ
jud4gFn/337W+S1AvuDxE9mlkubj/zv7WTv4KcmHvAMywSxhe6HnmRaL5B+NHQxAqsaAOHXIVFoe
GM6wHUzDE+nmJEt2sR3DQBz5RmXVnpRQvGzJPH4qW6pr1lSPKia/0ZCMy+KoHM/C1sNdO7i3VoWa
LmcVtrI0wHWQX+bCkmOLm6jos2sH5WWXG0f84yE4hKA/F3l7Z1T4FCnwkxfPIOKEy76CEl0Q+026
worujD669SeiNmXv7uCrhfOmId0A8R5NKrBQ5iF6ai5V5o6MFuUE6DupEfuZEYDyJhcHo8Jacwjb
cLxHdJU8pU3zLZ+JUEG4upQ9Y5o9M0R+0aFtHlLXvcoqjvgc6utZB+SbtY7bggSd3k18sBu3r+TV
6Gkg9UZU3mU0f5dh7gEdYb/4MRJTqYd8VGl07piT+UHp0zBmKF+BjXD6VyTntOQjUtg6R9NS2edM
LMM4VME7ZZcWV9HiUNdsnO9Mnb1pr8Wkzixx7STTxw4ICTUnw3NpjXRYbVQN+8mGQsXeP74fWG90
jjbuh14Ut0PhG3smsVG1adzIvPUQeFGlxpoki7myBnNtqeVn2hqPCfq4HJFckWAoTrtuuo0Qlu46
NkAd5m01bHqDwuRQNEls4DErcPeORZftIqwi6Ro9Yh6doVx13EH0QjTMbb/kNEbq2Eq/hfQ1gYaU
jErtFfN06W8Gb0ImCZURE03WNoXLgeaar750xs/UzBX3dtgKjjkhIXMPZdmF5AFP4U0Hq8dfldKN
1RrDG22v1nMIhAMV2VPX+upyZiZINAA5llC9rMjFIVuV1qbTOEfVMkRPUV5SgVbDtec6rXULY5It
Xki1zMDAFYXYIvchwjNUltZ3mRJRcmCu18sTnzCH8UdAl7NphbSvDENX73WTlmfkfHGMj6RRzX7w
iYJeZeSBnLoWzfNKW4robF+Ht+0QH4McS7vt6Yj6Nt92zMqQeaNccISIt65zFZjuU9GKmzED1U6w
L8zjVB0SqCMrRjCXuH9QZzt4vJ3hJWrc+77yt5PlTldp6By8Ml9Y6pKs2GhDhBDqg0u/ZE5diZDY
Ou6ejqH/2rW1x7Z5Ko+xmTs3DIWMb3ycN+AI0LqZN3aXGptqDG5NUza7Wo+rkiNqF5ag+nip7858
W3bDpqVl31hW81TCZrsFhnJsfPLJtSKTgRRlGpU28zf1klOSFvl9SCe48o0W+w/IgonqRGqFyN2D
EltAD2bSkDyUzpDgNOCe1gXibVayOU5UIB3hxDzPKut2PQGdI1eiNr66LvN8QiTHqk62s0OthtN6
8TpDMZa1sxEu4zC6WiSwkVXVl2aa+c/hFN/bRZmSAm33e03fzlcm2zG2CDaWw/ik7yPxOrszNjJr
2lrB2F7YdgaOJMJFUxXRcfDEPUffZQw5cuXAsTrlabDrSg8yENYvd7L9Pf6kfdkEPdWu+VagRV6N
/vQN98w1lN16PSAw3rltgK9+sL7pLshfkN3/nl30j9PM/B/9ewHjIt9y0ePYNPuBEGL58++I31Uz
oqxMrfAAigveQ8k0lD11ZYFGazCP1z7fEmPuvWbrIRG7RMOQPsXZMnYfBww4q9In6GU9dj7fOr+O
whuc+T2ktzFXtLNpGjgrZUFGwV2TT59rVVmvA6YGly5Sk60omiV8tyhnMtmpmQGCjo0aTrmFWGCf
xL6hjsryOCyqJjoPUzYMO+/jNDE+Thb5ccq0y4EzMvkgP6GbhH3gezlsErVkpfaAk3fkI2R3XWYQ
gVBIExeslBxTMANf7Qgflt3Fuybx+4sianfsCJ1dn6KuwG51YbpYyT2zIvorZzBEuY+Tv6S7t8Nk
U5bYHW2Ww6uhd+7m0oIGzXF24VeRt5ew3tD/dx7G+RS87xjtnaqyT0tG5zcrqKtP7BPqrXSSgs8q
jTTpZLnVj/uMcWK/9pmM74FS8m3xzUzx6UbUVa9dbIf5PYgfS58Z2qOOz5iXsZ2HpwG6fW1KeLwo
R6vPiQznGzZnLoonupVaZWe6Y/eGEPUZRUQUV184FHCUSIFXqtb1RsBow9Lmy+x6aPrgLe68fptW
2a0qavvkI8rY1AjArUsTDswVShSB3l11bBWQQMF3LIlxOiejIa5ZYaIfGRKXITbgQssoOhbzdrSq
RRy/RjLl2woBsX+eWC6vsWra15HXm7fpQDxbbVkvbhFZB4a4JdQuj3G1XaqbInHJxfPsPaTyaW9J
62Rqmg7RG8OZ9Viw8UclYXq0at3am1QxeZHddNF03lMSz+OW39wjhpsaPEtKgGwcEnfHVIE5mvUA
LrRe5/14QC6Vcc81+3B03ujJ9c6Xxqsk94hVLkOzJulOjsg2iZURdG2d2zJ6jCAHBmySWdO+EOSw
iuvwyhwG4It97+3GuX/DhGZd5dL5RgINcRc9GihLmGoXjEZwqK3uqxe07QnYyrCGg5+8TWGoT4Mf
tCSEAq1tIadjroUYV5Z4h5DW4NcX3rrynLfBXRztlPlrtEjBprTS9OxmxpcZHvm+nEzrihHxJUCW
ae3kvb2FNjNtHGHVO6drFuwki5DBUzPDNTg2FZKGkDc7d3W27YJmQ5Wwq5u2u5wbS5EiMk174Tbt
mhijexVHI4JXKz1CxMHVbk0+xYfF6mQU1i3ijfbGY8nqhEN6NJY4llijV0V2K9KTjzIE8hlhqd+Y
iw5bdGXNez7EtEa5X+9Yf2Pda+FoQMHhT1NkUPg8s73UI/KNorenL6MnYD7542Q/iqkHCzSo0nxC
08OcpnMRi1dplr0nUQozA+Z1AsQ47lBz2WPb7I1lSLetoSSSBsMdrZbbOv+4uJuPS9z/uNDhlMR0
hR8X/fBx6c8fBUADZY0m+6MwcD+KBH+pF+A5dqv/dFv/kqWeY5bVzK/0sPv6h2A5aIe//43f+yzh
/kYTRQtjkRJHV+X/EbTh/OZ7jmujE3TNn/JSvd+wdZHLQQMUCsz8xGf+rc+yCO5AjmXRZ7kfpvp/
Swe7iFx/EMHyxMjqCFy6PYEm96dUORsXT+UVmlUeStXVqBMmEAjq1gTuLEE82Xj67jdz8/tP/j9V
z0IlhbL+3/9F6/gXj8cD4vg3+X38FPtZxA6IToyp29ltMZq58TvzZJhKGnXcrx/JdniTfn4sLzAF
KXyu4wmPAL4fSoqeBtNxkkRvbWtpHksPEI+ME+uY2XZzmUfxcInOL9uzZwf2LFX4hip2uGmrMT9i
/WeuK42c030CmLTK+9ZFRRXG6tEt4AxhCPC9K9+PrVNv2u0L0RpYrVtLRFTUY4C1AtnbKCBF1t9A
CjgrP8g53wNF7+GIVAIydpV5kxZ2G1OfzKBRMuF+w/5UIzTV2cARVvTv/Wgk32KfiyKvhLOpo2K+
YX4Dhgh/aryX1IPcF91wm/mzcZZmaA4H8P5M1vMk5Kn0IooeA/QO7GkSOQs4qZR4qziYBDPOGOZr
MzuqXpVFxly0DzXO+JZdNtgBMaj3MjPUSbT+UcR8HqyBgxvMzkU1+Q8VimfSR/CZA1tl+ZjaXgVd
oLgYIe9s6eQG+vXmySiTbEGe32aA2PaVJy440EDthhD/USrItRMa8CYTlDRmD+8kMv12VVhhkSAA
pshPc3oPyxjzkzG1TylJsLDwSXKbJG45X8Akhuty1WGh2BUtuOskJyTGGtnUGyGiFjDKeWzfWhQU
rW3cgUPZeGjbVr41JnsmHy7JouHRltx4OXCbdYSYbGVa8TuStXDl9Rn/AyKAwEp9QGEdYgzGwVIn
rbnxXR7c9kuG04F5q3vSEsFt8dWp4q+xTXdTsZIAcvuiIz7qVkvR7lbGPtXmbZ2rTbD8RsmHCDeR
m9wjW4vX5mi/eX10YeUCbnBWrME07mHJMTPHvkyP4kCnz0eEqdYb8O2dk7N9Kftu75jZO1wQRu6R
evL4hyEKrvDavuch5VBHNkaTY70YIok4Sd7HDImJjyP+YTgnUb4H8HORFCrdkp7M5w7K2oxYmvX8
Rea4GgWqG7XXdMVXqVE/VQOGDo20A55UAU0dNljfZBuIT/4uL3nzFAtbVMMh93mnwy3jTOIlAsAz
aUgP1LvBFV6V+MqJxpckah9H9NBbLuElcose3Y+Mh8iJcQALYOfQvdFGA963Rb2Z8gUo7MfnOMrr
va/sJ+bnvABs/ogFq1Wh05fIc1FIg/QofAd0qqDKamrQ+CYP7WubyU5NO6ha2lze2NuknPCAAVVi
4o3mAGUu0wVg2g+43IFMtOJBA/qgJy0vQB6g8jCbF0Ck9fY/l+u/crk6JjlL3x3rfyLU3Kc5K6Tv
x5h/+yt/s5gEZKwGoe1C8yaA6GNS+TuTJgiwmHCxce0K64cJZvAbim1k6Mw9LQ937x83q73Qahig
BQ5+kN/v438jwmoJ0Pru+qFwdJdxqI2ZxXdNhqw/Xa2Rw5BKVzYrwSExTgzbuIMAdriR3ZzEqFmq
S6SoLgzgLTbB8VOq8/hUYX1dSROJvRViB6XoDF6zpLU2UdcIXNX9eKyNprvEj5j8kwvzxw78z8+X
X8z3HTh2VL9Lg8k6hGmhD5PLvK+hW8fUHW3MBtq3LUMUOVCJfx/k/8Pm3/kI+/6jCvnzQ/806218
t2Qe5UyHNCbSYB4B8+TQpXYI/+tt1hs1HtoC+q8FtiC3vetx2Tf6MqTFFCBzssZTh2kGFlAbusRp
C7VQYOSxga1jaOO35zvjdeFE8WXUIcNOBd1Xrirz0M7pXTNkWxwLn/LMZJfJsqvBRF0Ew1NOKMrM
RaPlTZ2U9T7pyv5+IIvqIm8hpOUFOL2isctTGZr1pdeH6aWqZv0l6XWHc7ipL1KrgA1KmutONaSU
VqSAgEUgXxpATmasqjAB/a4t85Or6/EoUFbtCygGiJLjdJch78pU2HYrOqH+qUk9c59URrYjmZpU
jVimW0UUCjLg7JPnR9f9pPHVN4wy9UYXxpPbVvAMmE6fpix8bGcbcn/YnBVqyM2EdfEim+PLssR4
0cSUFsGUYXzvl9QqFoBDIL52JQqwgWXkClnpCb+PsbKH6Xo0E29HVisOWjNy1kbidKcGAuAu6iO2
VUV6VUczCzNlHoCVYssYT9E84RlVtHHMdmyWpzXMIqgDHjFdpoT04Y6M/IgxSmd72NdZAPREN7hV
xwUxPpmMJ7IGnkOK+8pTvvmsYxVv/ZicWESV3XRA68cNHDonvjVYRftzNIUIngJ7YKCCFZXZ0i2D
mW4zMr3FktHvYlc3B5O0ErLZ9DZlXwArhveEuXwCUwip6uAQSwV8mYR6AEOYqaNjUPnmHmZ1dHQx
Yq0Dm2GerImlw1DlrcMex/gwko9hjMxgidkxIPGSFltC1lQO1GhSHEB4QIv30OdQVUIlDEISnPJ+
OoPoJgorhetpDuULNpaHDsydYtfGCCeAAh08mCa0Bb9nDFHwu/S0CykvH5B6duhjJPddJUhqKewA
sSueVB1GbP1DDwtSQIyyG+19j6F1m68xEwQMa5pi4xR9xuQeuTU4kw1GImxSIqC/LfSdVZnm2cAy
xM056g0YiH5VN504T3BU7pFdG5tJMNLU7n1ee6TuMEZYl2xqKJazKz/AuI+h3l6ClgGboEzfoPHb
G1rtPduAGufHd2gRUY6UIakw+RGROYwY9tVyGh+6MT17TbruuuRqkFZzqD3kiGLYju3nuZDXQiJ6
EmZ/lyRN8MmWebqjW9oCLvmap+RI+bG6RKq/mcrqoTVQRo3hTiblq2lV225OiacW1HzgF5I1y5Mr
8itw/82MBzOJ0jPElmURORWfsqiyL5lFwb+OJsKkYtCFYJ+cun1Z/Dr83ivzfkQnQ7CvfWe0KC8j
Sjy+28P4OtiU02bF7nPFLjTEYs44z+RlHUcEsrxVCODXuqfoiGSD/mzqmCkkfbEeJYBq1WA/snMb
O2APYkWVOXxeIjYBDwCKzEzZHwpQ8EzyGInkrvmpTFNCpUPJSA692IMKAw6LzgWKHhvmXidWeygK
rGxQYoR5gQ2AMGnZqztJ3XOje6c5pDV+nEhn/IsI0Jj9YpzATGte+DK6bibITrYzbT0/f5iqrDuh
xed+yF30M3OyVQ3pRgXDPUgMVYtuolFXtgx6FIMRljH0PijaNXmq+TyvFkQ3DnrcCrQY5h5xLghq
tiwcdq33VFbGSUQz512GbXkOskOlg2xjI805KC1mYO71uyCeF4dGt4crZq8NXMKHNky/QC9zt24a
3YrUgRZKKtlubNGN5MOShmdk1hGEW3U1K+/uu9Lkn/a2H7cYnblN/+BYJB6LpR/9boRtGS4wxLy1
DngNAEYiZy6zeQVYwjv/+oGsHzvbPz/ST6VF3o1VYiLSPQxx7xEIH36zZurVwsQVQcbBi29j/Ro9
F375cvI2gqnqr5/CRwLnT1d2QIIanTWLYDP8eV7P3FhnVTszHR1KQVwz7P210xMIFRRCbAwljA1N
LnEVc9MdckQ3V8ThjKsEdeGZTGt5DnWnVizun/w0U7e5phHKE8UpD1G/uvLEHB1yTCqbbCBzLoVL
yrJ2ZNExTxyC+CaVNIMD+hSC9QTO9w6adanKW56HsUUdxsjm7xGq/+J7+/3L/WluAQYH8EfuWQf6
puiuVSMxuQjHgH3it/31Q/04kvn9zUVGARmR/3CJZ/3pY6TZ2Xb5aB3SXrwDCpWryXOfHajtG+U1
T79+MGf5qPzpffzu0RaX9HcfWiONymGsM/tAKN4N+xXn0cEgecx0/GaltOfSz7ubnvb8FHT2fABA
5WzsvPEwAsXdZQiGJeOdJImr2xe+HHdZ23cLCRcG09iXmzTlLYTSS9JIl3kbe6qrGzNLKiyD8GQR
qvDTSCtbtbSg41KUyKU8calTfv06l5fx08uk4rd8T9hBwMu1f3yZ2AR80+AeOfgSYXjuR6zgHWx8
ZegbN+lgYFjpZZH/k7fyr76oPzzsTzU1KAYOt1o7B8P1+Goo703kZIpoFeVobUzjVE3jFQhgtgpL
lSM0eJ5fv/C/fAocSug4rCBkzvfTFAwGNXNmwuYPToojrOVKBOwPitaPiHP0jFXR+JisSR7JHP+Z
U1/ufv0E/uLjzAz9j8f/6ZvTa7zljETcQ1f0z06bjgxrIudUSvbqkxFf/PrRlk7h5/fZD0xc4chd
PP77x/c50amhuhrbDaES2YWlCV8D29X93q//w47lxynmx1eU3+cfj/LTa4Lv6SA5qd1D2Y3WSvMC
V23lEhQFO+PXr+evHml5KeYyMfXsPx0GTdhXBIObhzmCFakD65EUt+MC3f314/zlx+T7B/rpHKD/
6LuoUC63SSO+pbq7zmzh7kPM44h0e+c+Z2mBlHApjxEl0wo0XXP5T57En1tm10RdxFfUBPTwP9xd
X3PaOBD/Kkwe+hYG2cbAdNKZhORKSpPmOtz1saNinS2wjZFsqPPp7ycbEysYmsN66BxvYLNarfaf
Vrsr7N311fse/Nyu0Z3KnmSDRYKeaGIzSyyH3OMU1J4k6JWwSpAc4G98xDE3CFUhmrseD9bIlUCJ
KEXizfIuQSk9rv6RMp4u/eibi/5AT4Rbfy8EEmZOo2sfMpvTQ+kw7pzoKYz7r9gAFxYsUVEugJqf
TeMcWaIkQAuz1XPYG7uXzw84CcVxX9abZDJAevWWJzfYhF7+wX8ictrvxyFylaFOBW72hZv6/W6x
IrdRgj2NxBkWrn5Y/5MkW/++t47gwtnOlKDZGDK+UbK+yYfuOLnk6V3yvIJvhVs9bzYhszjuuMu3
62jcczfOZyll6eL8b3LudhNRcaS7IgD1Z8ZE/pXhRolUVsEc9bQ4n5itznvpNKAOq4W+5uhhmSoM
fL6K63EsQmAL9h7IHqUC31MQQgqPNvPY1YWFDspQrNAMFlqp4AObFq5Qv1Y+Hoy6ODeCI2EjJU99
INEYr0ahYzQ4Pb2SmKff0SZAvQgn8lymgs/TOgnQeN6CtXgLEV7BeCECGXWRvoiQXX9UzhIqo04E
t0t6w5FtoUtV8YF+/b2IgH7apESqtD4nOOEoESykXsKZ76PXtjb74aA7GliqXfdvO3tYtLazJ2gM
RNDMBzpYm/1g2HXgQqP30H/g/DeIx16PjBGv8QoNwplsUjTHXqiE5/D5TnDuvasLpSC0F2d5wsqx
XxTMB40nCuGuPayEvRhn9/fdBA+H1saqZlX9OOFMUDEP8uJBvkPzkUbQQ9exF4jmdlDIA64EXg1/
daGhWxP9k/ClpNoRALKVsaIv8zwPLG59paICowhujyxo0LZgJ1TkNMbusgRUrCR6cUDPtYbMIzoP
aNjYeAs1cggStB3iE42irPOORsn7zpRKRE01ChEUFMBqtR1lStFeIKVLnUiuRQys6hR8qvb2Neq7
zgiOW1ukP9OlDKi3ZSypgBVrq641qH44n8d/3VKt5lOcI0RfPA70K0QV5jg0M7GYT5mXzQMmRK4B
x83qpPrhfLI8ZfGC/qjgFFij/MAAC36lC4qWqVRzyayB5RiAffzMsuUazmjEw84j9bI6RezShLbl
77/SlIom1WI7rmOAw78xmXZuGHIfQg370v1pi/0DhTKHwkqFxuM7D7Mt9I/ZAtA131UleVkqKNoa
9rHksZbMAqtMIxp3aOx1Hvl89QOrey9DfJUV0kqeULZBiAmuvxZZfNw84SyeuEYUJX9eCd0dAGhV
kWTAws5Qsp3pHLQDbsAy3VIPXlKxHNTHYkzohoW8vhbFWLZKSGjLVI8YQS11BamwVGX9lwEynS4u
a8m3D8yHj0NzTY5BGVXyZsCZvGU4ZT0ki2PAebrdyxt66DYMYcAejmGxPA7uCRrgG+AbpMehUxKX
ByOgNmOIJFUDYlDYGdw69Zo7dyMYsDSfYAqOwjfAQjMG0fJf+/guGdq4v8nAIrz1Vq6WgtasjzrX
sBdHOXkAn7GHgwQLQVckz+Lo75dM3bTf3EehDnehVXSp6W/6Flu9MQ8ZFR/+BQAA//8=</cx:binary>
              </cx:geoCache>
            </cx:geography>
          </cx:layoutPr>
          <cx:valueColors>
            <cx:minColor>
              <a:schemeClr val="accent1"/>
            </cx:minColor>
          </cx:valueColors>
          <cx:valueColorPositions count="3">
            <cx:minPosition>
              <cx:percent val="0"/>
            </cx:minPosition>
          </cx:valueColorPositions>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 /><Relationship Id="rId13" Type="http://schemas.microsoft.com/office/2014/relationships/chartEx" Target="../charts/chartEx1.xml" /><Relationship Id="rId3" Type="http://schemas.openxmlformats.org/officeDocument/2006/relationships/image" Target="../media/image3.png" /><Relationship Id="rId7" Type="http://schemas.openxmlformats.org/officeDocument/2006/relationships/image" Target="../media/image7.png" /><Relationship Id="rId12" Type="http://schemas.openxmlformats.org/officeDocument/2006/relationships/chart" Target="../charts/chart4.xml" /><Relationship Id="rId2" Type="http://schemas.openxmlformats.org/officeDocument/2006/relationships/image" Target="../media/image2.svg" /><Relationship Id="rId1" Type="http://schemas.openxmlformats.org/officeDocument/2006/relationships/image" Target="../media/image1.png" /><Relationship Id="rId6" Type="http://schemas.openxmlformats.org/officeDocument/2006/relationships/image" Target="../media/image6.svg" /><Relationship Id="rId11" Type="http://schemas.openxmlformats.org/officeDocument/2006/relationships/chart" Target="../charts/chart3.xml" /><Relationship Id="rId5" Type="http://schemas.openxmlformats.org/officeDocument/2006/relationships/image" Target="../media/image5.png" /><Relationship Id="rId10" Type="http://schemas.openxmlformats.org/officeDocument/2006/relationships/chart" Target="../charts/chart2.xml" /><Relationship Id="rId4" Type="http://schemas.openxmlformats.org/officeDocument/2006/relationships/image" Target="../media/image4.svg" /><Relationship Id="rId9" Type="http://schemas.openxmlformats.org/officeDocument/2006/relationships/chart" Target="../charts/chart1.xml" /></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 /><Relationship Id="rId2" Type="http://schemas.openxmlformats.org/officeDocument/2006/relationships/chart" Target="../charts/chart6.xml" /><Relationship Id="rId1"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dr:twoCellAnchor>
    <xdr:from>
      <xdr:col>9</xdr:col>
      <xdr:colOff>276485</xdr:colOff>
      <xdr:row>6</xdr:row>
      <xdr:rowOff>22860</xdr:rowOff>
    </xdr:from>
    <xdr:to>
      <xdr:col>13</xdr:col>
      <xdr:colOff>178085</xdr:colOff>
      <xdr:row>11</xdr:row>
      <xdr:rowOff>22860</xdr:rowOff>
    </xdr:to>
    <xdr:grpSp>
      <xdr:nvGrpSpPr>
        <xdr:cNvPr id="23" name="Group 22">
          <a:extLst>
            <a:ext uri="{FF2B5EF4-FFF2-40B4-BE49-F238E27FC236}">
              <a16:creationId xmlns:a16="http://schemas.microsoft.com/office/drawing/2014/main" id="{7D0A33CE-DF68-4A3F-B0A3-6F1094BBBC3E}"/>
            </a:ext>
          </a:extLst>
        </xdr:cNvPr>
        <xdr:cNvGrpSpPr/>
      </xdr:nvGrpSpPr>
      <xdr:grpSpPr>
        <a:xfrm>
          <a:off x="5762885" y="1168908"/>
          <a:ext cx="2340000" cy="955040"/>
          <a:chOff x="7330440" y="1120140"/>
          <a:chExt cx="2340000" cy="914400"/>
        </a:xfrm>
      </xdr:grpSpPr>
      <xdr:grpSp>
        <xdr:nvGrpSpPr>
          <xdr:cNvPr id="13" name="Group 12">
            <a:extLst>
              <a:ext uri="{FF2B5EF4-FFF2-40B4-BE49-F238E27FC236}">
                <a16:creationId xmlns:a16="http://schemas.microsoft.com/office/drawing/2014/main" id="{7EE06C79-CCE9-42CE-AF11-4A81A6F0EBD6}"/>
              </a:ext>
            </a:extLst>
          </xdr:cNvPr>
          <xdr:cNvGrpSpPr/>
        </xdr:nvGrpSpPr>
        <xdr:grpSpPr>
          <a:xfrm>
            <a:off x="7330440" y="1120140"/>
            <a:ext cx="2340000" cy="914400"/>
            <a:chOff x="7620" y="1120140"/>
            <a:chExt cx="2340000" cy="914400"/>
          </a:xfrm>
        </xdr:grpSpPr>
        <xdr:sp macro="" textlink="">
          <xdr:nvSpPr>
            <xdr:cNvPr id="14" name="Rectangle: Rounded Corners 13">
              <a:extLst>
                <a:ext uri="{FF2B5EF4-FFF2-40B4-BE49-F238E27FC236}">
                  <a16:creationId xmlns:a16="http://schemas.microsoft.com/office/drawing/2014/main" id="{727BBE69-423A-4380-ACCC-5A6214DFED66}"/>
                </a:ext>
              </a:extLst>
            </xdr:cNvPr>
            <xdr:cNvSpPr/>
          </xdr:nvSpPr>
          <xdr:spPr>
            <a:xfrm>
              <a:off x="7620" y="1120140"/>
              <a:ext cx="2340000" cy="914400"/>
            </a:xfrm>
            <a:prstGeom prst="roundRect">
              <a:avLst/>
            </a:prstGeom>
            <a:effectLst>
              <a:innerShdw blurRad="63500" dist="50800" dir="5400000">
                <a:prstClr val="black">
                  <a:alpha val="50000"/>
                </a:prstClr>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154FC7E4-5EFB-4055-8170-C0CF4DEAB006}"/>
                </a:ext>
              </a:extLst>
            </xdr:cNvPr>
            <xdr:cNvSpPr/>
          </xdr:nvSpPr>
          <xdr:spPr>
            <a:xfrm>
              <a:off x="15240" y="1120140"/>
              <a:ext cx="662940" cy="914400"/>
            </a:xfrm>
            <a:prstGeom prst="roundRect">
              <a:avLst/>
            </a:prstGeom>
            <a:solidFill>
              <a:schemeClr val="accent1"/>
            </a:solidFill>
            <a:effectLst>
              <a:innerShdw blurRad="63500" dist="50800" dir="5400000">
                <a:prstClr val="black">
                  <a:alpha val="50000"/>
                </a:prstClr>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16" name="TextBox 15">
              <a:extLst>
                <a:ext uri="{FF2B5EF4-FFF2-40B4-BE49-F238E27FC236}">
                  <a16:creationId xmlns:a16="http://schemas.microsoft.com/office/drawing/2014/main" id="{C2663AF7-5C7D-4F86-8B06-CBC13BFB9038}"/>
                </a:ext>
              </a:extLst>
            </xdr:cNvPr>
            <xdr:cNvSpPr txBox="1"/>
          </xdr:nvSpPr>
          <xdr:spPr>
            <a:xfrm>
              <a:off x="853440" y="1257300"/>
              <a:ext cx="12420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accent1"/>
                  </a:solidFill>
                </a:rPr>
                <a:t>UNIT</a:t>
              </a:r>
              <a:r>
                <a:rPr lang="en-IN" sz="1200" b="1" baseline="0">
                  <a:solidFill>
                    <a:srgbClr val="FFFF00"/>
                  </a:solidFill>
                </a:rPr>
                <a:t> </a:t>
              </a:r>
              <a:r>
                <a:rPr lang="en-IN" sz="1200" b="1" baseline="0">
                  <a:solidFill>
                    <a:schemeClr val="accent1"/>
                  </a:solidFill>
                </a:rPr>
                <a:t>SALES</a:t>
              </a:r>
              <a:endParaRPr lang="en-IN" sz="1200" b="1">
                <a:solidFill>
                  <a:schemeClr val="accent1"/>
                </a:solidFill>
              </a:endParaRPr>
            </a:p>
          </xdr:txBody>
        </xdr:sp>
        <xdr:sp macro="" textlink="'Sales DataSheet'!L4">
          <xdr:nvSpPr>
            <xdr:cNvPr id="17" name="TextBox 16">
              <a:extLst>
                <a:ext uri="{FF2B5EF4-FFF2-40B4-BE49-F238E27FC236}">
                  <a16:creationId xmlns:a16="http://schemas.microsoft.com/office/drawing/2014/main" id="{507BF9CD-CCCC-4066-A44A-72B30BC5EFAF}"/>
                </a:ext>
              </a:extLst>
            </xdr:cNvPr>
            <xdr:cNvSpPr txBox="1"/>
          </xdr:nvSpPr>
          <xdr:spPr>
            <a:xfrm>
              <a:off x="792480" y="1630680"/>
              <a:ext cx="134112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40D9033-51B6-4BFF-8EC9-96542A141CE7}" type="TxLink">
                <a:rPr lang="en-US" sz="1200" b="1" i="0" u="none" strike="noStrike">
                  <a:solidFill>
                    <a:schemeClr val="accent1"/>
                  </a:solidFill>
                  <a:latin typeface="Calibri"/>
                  <a:ea typeface="Calibri"/>
                  <a:cs typeface="Calibri"/>
                </a:rPr>
                <a:pPr algn="ctr"/>
                <a:t>4705</a:t>
              </a:fld>
              <a:endParaRPr lang="en-IN" sz="1200" b="1">
                <a:solidFill>
                  <a:schemeClr val="accent1"/>
                </a:solidFill>
              </a:endParaRPr>
            </a:p>
          </xdr:txBody>
        </xdr:sp>
      </xdr:grpSp>
      <xdr:pic>
        <xdr:nvPicPr>
          <xdr:cNvPr id="24" name="Graphic 23" descr="Gold bars">
            <a:extLst>
              <a:ext uri="{FF2B5EF4-FFF2-40B4-BE49-F238E27FC236}">
                <a16:creationId xmlns:a16="http://schemas.microsoft.com/office/drawing/2014/main" id="{11696F05-D7B9-4335-BEA1-51B343A19FE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520940" y="1386840"/>
            <a:ext cx="360000" cy="360000"/>
          </a:xfrm>
          <a:prstGeom prst="rect">
            <a:avLst/>
          </a:prstGeom>
        </xdr:spPr>
      </xdr:pic>
    </xdr:grpSp>
    <xdr:clientData/>
  </xdr:twoCellAnchor>
  <xdr:twoCellAnchor>
    <xdr:from>
      <xdr:col>0</xdr:col>
      <xdr:colOff>22860</xdr:colOff>
      <xdr:row>6</xdr:row>
      <xdr:rowOff>22860</xdr:rowOff>
    </xdr:from>
    <xdr:to>
      <xdr:col>3</xdr:col>
      <xdr:colOff>534060</xdr:colOff>
      <xdr:row>11</xdr:row>
      <xdr:rowOff>22860</xdr:rowOff>
    </xdr:to>
    <xdr:grpSp>
      <xdr:nvGrpSpPr>
        <xdr:cNvPr id="27" name="Group 26">
          <a:extLst>
            <a:ext uri="{FF2B5EF4-FFF2-40B4-BE49-F238E27FC236}">
              <a16:creationId xmlns:a16="http://schemas.microsoft.com/office/drawing/2014/main" id="{96FD6550-F1F6-4108-84BD-E95FA57DB497}"/>
            </a:ext>
          </a:extLst>
        </xdr:cNvPr>
        <xdr:cNvGrpSpPr/>
      </xdr:nvGrpSpPr>
      <xdr:grpSpPr>
        <a:xfrm>
          <a:off x="22860" y="1168908"/>
          <a:ext cx="2340000" cy="955040"/>
          <a:chOff x="22860" y="1120140"/>
          <a:chExt cx="2340000" cy="914400"/>
        </a:xfrm>
      </xdr:grpSpPr>
      <xdr:grpSp>
        <xdr:nvGrpSpPr>
          <xdr:cNvPr id="7" name="Group 6">
            <a:extLst>
              <a:ext uri="{FF2B5EF4-FFF2-40B4-BE49-F238E27FC236}">
                <a16:creationId xmlns:a16="http://schemas.microsoft.com/office/drawing/2014/main" id="{0B2059E7-47A5-401D-A824-DD38E5B0A2E6}"/>
              </a:ext>
            </a:extLst>
          </xdr:cNvPr>
          <xdr:cNvGrpSpPr/>
        </xdr:nvGrpSpPr>
        <xdr:grpSpPr>
          <a:xfrm>
            <a:off x="22860" y="1120140"/>
            <a:ext cx="2340000" cy="914400"/>
            <a:chOff x="7620" y="1120140"/>
            <a:chExt cx="2340000" cy="914400"/>
          </a:xfrm>
        </xdr:grpSpPr>
        <xdr:sp macro="" textlink="">
          <xdr:nvSpPr>
            <xdr:cNvPr id="3" name="Rectangle: Rounded Corners 2">
              <a:extLst>
                <a:ext uri="{FF2B5EF4-FFF2-40B4-BE49-F238E27FC236}">
                  <a16:creationId xmlns:a16="http://schemas.microsoft.com/office/drawing/2014/main" id="{5D9C58B6-F85B-4539-8F31-67AFB31525DF}"/>
                </a:ext>
              </a:extLst>
            </xdr:cNvPr>
            <xdr:cNvSpPr/>
          </xdr:nvSpPr>
          <xdr:spPr>
            <a:xfrm>
              <a:off x="7620" y="1120140"/>
              <a:ext cx="2340000" cy="914400"/>
            </a:xfrm>
            <a:prstGeom prst="roundRect">
              <a:avLst/>
            </a:prstGeom>
            <a:effectLst>
              <a:innerShdw blurRad="63500" dist="50800" dir="5400000">
                <a:prstClr val="black">
                  <a:alpha val="50000"/>
                </a:prstClr>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FDE6B0A5-29D3-4B4E-ADCF-5C096432AC8F}"/>
                </a:ext>
              </a:extLst>
            </xdr:cNvPr>
            <xdr:cNvSpPr/>
          </xdr:nvSpPr>
          <xdr:spPr>
            <a:xfrm>
              <a:off x="15240" y="1120140"/>
              <a:ext cx="662940" cy="914400"/>
            </a:xfrm>
            <a:prstGeom prst="roundRect">
              <a:avLst/>
            </a:prstGeom>
            <a:solidFill>
              <a:schemeClr val="accent1"/>
            </a:solidFill>
            <a:effectLst>
              <a:innerShdw blurRad="63500" dist="50800" dir="5400000">
                <a:prstClr val="black">
                  <a:alpha val="50000"/>
                </a:prstClr>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solidFill>
                  <a:schemeClr val="accent1"/>
                </a:solidFill>
              </a:endParaRPr>
            </a:p>
          </xdr:txBody>
        </xdr:sp>
        <xdr:sp macro="" textlink="">
          <xdr:nvSpPr>
            <xdr:cNvPr id="5" name="TextBox 4">
              <a:extLst>
                <a:ext uri="{FF2B5EF4-FFF2-40B4-BE49-F238E27FC236}">
                  <a16:creationId xmlns:a16="http://schemas.microsoft.com/office/drawing/2014/main" id="{44A0EC9C-4ABF-4C5F-88D7-EFFB68FF785D}"/>
                </a:ext>
              </a:extLst>
            </xdr:cNvPr>
            <xdr:cNvSpPr txBox="1"/>
          </xdr:nvSpPr>
          <xdr:spPr>
            <a:xfrm>
              <a:off x="853440" y="1257300"/>
              <a:ext cx="1242060" cy="259080"/>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accent1"/>
                  </a:solidFill>
                </a:rPr>
                <a:t>TOTAL</a:t>
              </a:r>
              <a:r>
                <a:rPr lang="en-IN" sz="1200" b="1" baseline="0">
                  <a:solidFill>
                    <a:schemeClr val="accent1"/>
                  </a:solidFill>
                </a:rPr>
                <a:t> SALES</a:t>
              </a:r>
              <a:endParaRPr lang="en-IN" sz="1200" b="1">
                <a:solidFill>
                  <a:schemeClr val="accent1"/>
                </a:solidFill>
              </a:endParaRPr>
            </a:p>
          </xdr:txBody>
        </xdr:sp>
        <xdr:sp macro="" textlink="'Sales DataSheet'!L2">
          <xdr:nvSpPr>
            <xdr:cNvPr id="6" name="TextBox 5">
              <a:extLst>
                <a:ext uri="{FF2B5EF4-FFF2-40B4-BE49-F238E27FC236}">
                  <a16:creationId xmlns:a16="http://schemas.microsoft.com/office/drawing/2014/main" id="{B45A5A32-8DA1-489D-BA98-DF2A2C6D655A}"/>
                </a:ext>
              </a:extLst>
            </xdr:cNvPr>
            <xdr:cNvSpPr txBox="1"/>
          </xdr:nvSpPr>
          <xdr:spPr>
            <a:xfrm>
              <a:off x="792480" y="1630680"/>
              <a:ext cx="134112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80F97EB-5EE3-433E-9CF6-B5FB49D3FF45}" type="TxLink">
                <a:rPr lang="en-US" sz="1200" b="1" i="0" u="none" strike="noStrike">
                  <a:solidFill>
                    <a:schemeClr val="accent1"/>
                  </a:solidFill>
                  <a:latin typeface="Calibri"/>
                  <a:ea typeface="Calibri"/>
                  <a:cs typeface="Calibri"/>
                </a:rPr>
                <a:pPr algn="ctr"/>
                <a:t>12944500</a:t>
              </a:fld>
              <a:endParaRPr lang="en-IN" sz="1200" b="1">
                <a:solidFill>
                  <a:schemeClr val="accent1"/>
                </a:solidFill>
              </a:endParaRPr>
            </a:p>
          </xdr:txBody>
        </xdr:sp>
      </xdr:grpSp>
      <xdr:pic>
        <xdr:nvPicPr>
          <xdr:cNvPr id="26" name="Graphic 25" descr="Rupee">
            <a:extLst>
              <a:ext uri="{FF2B5EF4-FFF2-40B4-BE49-F238E27FC236}">
                <a16:creationId xmlns:a16="http://schemas.microsoft.com/office/drawing/2014/main" id="{C5268B9D-0DB4-41BA-9C1D-AA601075143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88100" y="1386444"/>
            <a:ext cx="360000" cy="360000"/>
          </a:xfrm>
          <a:prstGeom prst="rect">
            <a:avLst/>
          </a:prstGeom>
        </xdr:spPr>
      </xdr:pic>
    </xdr:grpSp>
    <xdr:clientData/>
  </xdr:twoCellAnchor>
  <xdr:twoCellAnchor>
    <xdr:from>
      <xdr:col>4</xdr:col>
      <xdr:colOff>490123</xdr:colOff>
      <xdr:row>6</xdr:row>
      <xdr:rowOff>22860</xdr:rowOff>
    </xdr:from>
    <xdr:to>
      <xdr:col>8</xdr:col>
      <xdr:colOff>389841</xdr:colOff>
      <xdr:row>11</xdr:row>
      <xdr:rowOff>22860</xdr:rowOff>
    </xdr:to>
    <xdr:grpSp>
      <xdr:nvGrpSpPr>
        <xdr:cNvPr id="8" name="Group 7">
          <a:extLst>
            <a:ext uri="{FF2B5EF4-FFF2-40B4-BE49-F238E27FC236}">
              <a16:creationId xmlns:a16="http://schemas.microsoft.com/office/drawing/2014/main" id="{BC574AD6-49FC-4D19-8C90-9338A572FC6F}"/>
            </a:ext>
          </a:extLst>
        </xdr:cNvPr>
        <xdr:cNvGrpSpPr/>
      </xdr:nvGrpSpPr>
      <xdr:grpSpPr>
        <a:xfrm>
          <a:off x="2928523" y="1168908"/>
          <a:ext cx="2338118" cy="955040"/>
          <a:chOff x="3672840" y="1120140"/>
          <a:chExt cx="2340000" cy="914400"/>
        </a:xfrm>
      </xdr:grpSpPr>
      <xdr:sp macro="" textlink="">
        <xdr:nvSpPr>
          <xdr:cNvPr id="9" name="Rectangle: Rounded Corners 8">
            <a:extLst>
              <a:ext uri="{FF2B5EF4-FFF2-40B4-BE49-F238E27FC236}">
                <a16:creationId xmlns:a16="http://schemas.microsoft.com/office/drawing/2014/main" id="{D74CD5B4-927C-4B45-A065-933A5243D8F7}"/>
              </a:ext>
            </a:extLst>
          </xdr:cNvPr>
          <xdr:cNvSpPr/>
        </xdr:nvSpPr>
        <xdr:spPr>
          <a:xfrm>
            <a:off x="3672840" y="1120140"/>
            <a:ext cx="2340000" cy="914400"/>
          </a:xfrm>
          <a:prstGeom prst="roundRect">
            <a:avLst/>
          </a:prstGeom>
          <a:effectLst>
            <a:innerShdw blurRad="63500" dist="50800" dir="5400000">
              <a:prstClr val="black">
                <a:alpha val="50000"/>
              </a:prstClr>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grpSp>
        <xdr:nvGrpSpPr>
          <xdr:cNvPr id="31" name="Group 30">
            <a:extLst>
              <a:ext uri="{FF2B5EF4-FFF2-40B4-BE49-F238E27FC236}">
                <a16:creationId xmlns:a16="http://schemas.microsoft.com/office/drawing/2014/main" id="{EBB2FABA-59F7-4B9E-A441-E364FFA71E04}"/>
              </a:ext>
            </a:extLst>
          </xdr:cNvPr>
          <xdr:cNvGrpSpPr/>
        </xdr:nvGrpSpPr>
        <xdr:grpSpPr>
          <a:xfrm>
            <a:off x="3680460" y="1120140"/>
            <a:ext cx="2118360" cy="914400"/>
            <a:chOff x="3680460" y="1120140"/>
            <a:chExt cx="2118360" cy="914400"/>
          </a:xfrm>
        </xdr:grpSpPr>
        <xdr:sp macro="" textlink="">
          <xdr:nvSpPr>
            <xdr:cNvPr id="10" name="Rectangle: Rounded Corners 9">
              <a:extLst>
                <a:ext uri="{FF2B5EF4-FFF2-40B4-BE49-F238E27FC236}">
                  <a16:creationId xmlns:a16="http://schemas.microsoft.com/office/drawing/2014/main" id="{AA8C2908-3CE0-46FA-BC90-D752A3B7636B}"/>
                </a:ext>
              </a:extLst>
            </xdr:cNvPr>
            <xdr:cNvSpPr/>
          </xdr:nvSpPr>
          <xdr:spPr>
            <a:xfrm>
              <a:off x="3680460" y="1120140"/>
              <a:ext cx="662940" cy="914400"/>
            </a:xfrm>
            <a:prstGeom prst="roundRect">
              <a:avLst/>
            </a:prstGeom>
            <a:solidFill>
              <a:schemeClr val="accent1"/>
            </a:solidFill>
            <a:effectLst>
              <a:innerShdw blurRad="63500" dist="50800" dir="5400000">
                <a:prstClr val="black">
                  <a:alpha val="50000"/>
                </a:prstClr>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11" name="TextBox 10">
              <a:extLst>
                <a:ext uri="{FF2B5EF4-FFF2-40B4-BE49-F238E27FC236}">
                  <a16:creationId xmlns:a16="http://schemas.microsoft.com/office/drawing/2014/main" id="{A57251E4-49F2-4A26-8A43-6187C61E6EA1}"/>
                </a:ext>
              </a:extLst>
            </xdr:cNvPr>
            <xdr:cNvSpPr txBox="1"/>
          </xdr:nvSpPr>
          <xdr:spPr>
            <a:xfrm>
              <a:off x="4518660" y="1257300"/>
              <a:ext cx="12420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baseline="0">
                  <a:solidFill>
                    <a:schemeClr val="accent1"/>
                  </a:solidFill>
                </a:rPr>
                <a:t>AVERAGE SALES</a:t>
              </a:r>
              <a:endParaRPr lang="en-IN" sz="1200" b="1">
                <a:solidFill>
                  <a:schemeClr val="accent1"/>
                </a:solidFill>
              </a:endParaRPr>
            </a:p>
          </xdr:txBody>
        </xdr:sp>
        <xdr:sp macro="" textlink="'Sales DataSheet'!L8">
          <xdr:nvSpPr>
            <xdr:cNvPr id="12" name="TextBox 11">
              <a:extLst>
                <a:ext uri="{FF2B5EF4-FFF2-40B4-BE49-F238E27FC236}">
                  <a16:creationId xmlns:a16="http://schemas.microsoft.com/office/drawing/2014/main" id="{37525842-2278-43FF-BD33-EBD24AA53B9B}"/>
                </a:ext>
              </a:extLst>
            </xdr:cNvPr>
            <xdr:cNvSpPr txBox="1"/>
          </xdr:nvSpPr>
          <xdr:spPr>
            <a:xfrm>
              <a:off x="4457700" y="1630680"/>
              <a:ext cx="134112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179F6D6-1D38-4E8D-A70A-749BCBEE8680}" type="TxLink">
                <a:rPr lang="en-US" sz="1200" b="1" i="0" u="none" strike="noStrike" baseline="0">
                  <a:solidFill>
                    <a:schemeClr val="accent1"/>
                  </a:solidFill>
                  <a:latin typeface="Calibri"/>
                  <a:ea typeface="Calibri"/>
                  <a:cs typeface="Calibri"/>
                </a:rPr>
                <a:pPr algn="ctr"/>
                <a:t>258890</a:t>
              </a:fld>
              <a:endParaRPr lang="en-IN" sz="1200" b="1" baseline="0">
                <a:solidFill>
                  <a:schemeClr val="accent1"/>
                </a:solidFill>
              </a:endParaRPr>
            </a:p>
          </xdr:txBody>
        </xdr:sp>
        <xdr:pic>
          <xdr:nvPicPr>
            <xdr:cNvPr id="28" name="Graphic 27" descr="Coins">
              <a:extLst>
                <a:ext uri="{FF2B5EF4-FFF2-40B4-BE49-F238E27FC236}">
                  <a16:creationId xmlns:a16="http://schemas.microsoft.com/office/drawing/2014/main" id="{3C15A509-3A58-4759-B62B-5F27BDC56FE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3881400" y="1382040"/>
              <a:ext cx="360000" cy="360000"/>
            </a:xfrm>
            <a:prstGeom prst="rect">
              <a:avLst/>
            </a:prstGeom>
          </xdr:spPr>
        </xdr:pic>
      </xdr:grpSp>
    </xdr:grpSp>
    <xdr:clientData/>
  </xdr:twoCellAnchor>
  <xdr:twoCellAnchor>
    <xdr:from>
      <xdr:col>14</xdr:col>
      <xdr:colOff>83435</xdr:colOff>
      <xdr:row>6</xdr:row>
      <xdr:rowOff>22860</xdr:rowOff>
    </xdr:from>
    <xdr:to>
      <xdr:col>17</xdr:col>
      <xdr:colOff>596517</xdr:colOff>
      <xdr:row>11</xdr:row>
      <xdr:rowOff>22860</xdr:rowOff>
    </xdr:to>
    <xdr:grpSp>
      <xdr:nvGrpSpPr>
        <xdr:cNvPr id="29" name="Group 28">
          <a:extLst>
            <a:ext uri="{FF2B5EF4-FFF2-40B4-BE49-F238E27FC236}">
              <a16:creationId xmlns:a16="http://schemas.microsoft.com/office/drawing/2014/main" id="{54ECB6FE-B09A-4775-838B-F9DC18983C8F}"/>
            </a:ext>
          </a:extLst>
        </xdr:cNvPr>
        <xdr:cNvGrpSpPr/>
      </xdr:nvGrpSpPr>
      <xdr:grpSpPr>
        <a:xfrm>
          <a:off x="8617835" y="1168908"/>
          <a:ext cx="2341882" cy="955040"/>
          <a:chOff x="10980420" y="1120140"/>
          <a:chExt cx="2340000" cy="914400"/>
        </a:xfrm>
      </xdr:grpSpPr>
      <xdr:grpSp>
        <xdr:nvGrpSpPr>
          <xdr:cNvPr id="18" name="Group 17">
            <a:extLst>
              <a:ext uri="{FF2B5EF4-FFF2-40B4-BE49-F238E27FC236}">
                <a16:creationId xmlns:a16="http://schemas.microsoft.com/office/drawing/2014/main" id="{66C19BDA-736D-4AB8-8B8B-9536107F6882}"/>
              </a:ext>
            </a:extLst>
          </xdr:cNvPr>
          <xdr:cNvGrpSpPr/>
        </xdr:nvGrpSpPr>
        <xdr:grpSpPr>
          <a:xfrm>
            <a:off x="10980420" y="1120140"/>
            <a:ext cx="2340000" cy="914400"/>
            <a:chOff x="7620" y="1120140"/>
            <a:chExt cx="2340000" cy="914400"/>
          </a:xfrm>
        </xdr:grpSpPr>
        <xdr:sp macro="" textlink="">
          <xdr:nvSpPr>
            <xdr:cNvPr id="19" name="Rectangle: Rounded Corners 18">
              <a:extLst>
                <a:ext uri="{FF2B5EF4-FFF2-40B4-BE49-F238E27FC236}">
                  <a16:creationId xmlns:a16="http://schemas.microsoft.com/office/drawing/2014/main" id="{351E9F24-7C3C-47AB-BB89-B363BAF114A6}"/>
                </a:ext>
              </a:extLst>
            </xdr:cNvPr>
            <xdr:cNvSpPr/>
          </xdr:nvSpPr>
          <xdr:spPr>
            <a:xfrm>
              <a:off x="7620" y="1120140"/>
              <a:ext cx="2340000" cy="914400"/>
            </a:xfrm>
            <a:prstGeom prst="roundRect">
              <a:avLst/>
            </a:prstGeom>
            <a:effectLst>
              <a:innerShdw blurRad="63500" dist="50800" dir="5400000">
                <a:prstClr val="black">
                  <a:alpha val="50000"/>
                </a:prstClr>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20" name="Rectangle: Rounded Corners 19">
              <a:extLst>
                <a:ext uri="{FF2B5EF4-FFF2-40B4-BE49-F238E27FC236}">
                  <a16:creationId xmlns:a16="http://schemas.microsoft.com/office/drawing/2014/main" id="{82D576B3-3867-43A2-AAE7-D7018A1FABEF}"/>
                </a:ext>
              </a:extLst>
            </xdr:cNvPr>
            <xdr:cNvSpPr/>
          </xdr:nvSpPr>
          <xdr:spPr>
            <a:xfrm>
              <a:off x="15240" y="1120140"/>
              <a:ext cx="662940" cy="914400"/>
            </a:xfrm>
            <a:prstGeom prst="roundRect">
              <a:avLst/>
            </a:prstGeom>
            <a:solidFill>
              <a:schemeClr val="accent1"/>
            </a:solidFill>
            <a:effectLst>
              <a:innerShdw blurRad="63500" dist="50800" dir="5400000">
                <a:prstClr val="black">
                  <a:alpha val="50000"/>
                </a:prstClr>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21" name="TextBox 20">
              <a:extLst>
                <a:ext uri="{FF2B5EF4-FFF2-40B4-BE49-F238E27FC236}">
                  <a16:creationId xmlns:a16="http://schemas.microsoft.com/office/drawing/2014/main" id="{C48AA791-C66E-427B-9430-AA0E9F9C27FE}"/>
                </a:ext>
              </a:extLst>
            </xdr:cNvPr>
            <xdr:cNvSpPr txBox="1"/>
          </xdr:nvSpPr>
          <xdr:spPr>
            <a:xfrm>
              <a:off x="853440" y="1257300"/>
              <a:ext cx="12420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accent1"/>
                  </a:solidFill>
                </a:rPr>
                <a:t>PROFIT</a:t>
              </a:r>
            </a:p>
          </xdr:txBody>
        </xdr:sp>
        <xdr:sp macro="" textlink="'Sales DataSheet'!L6">
          <xdr:nvSpPr>
            <xdr:cNvPr id="22" name="TextBox 21">
              <a:extLst>
                <a:ext uri="{FF2B5EF4-FFF2-40B4-BE49-F238E27FC236}">
                  <a16:creationId xmlns:a16="http://schemas.microsoft.com/office/drawing/2014/main" id="{2B0C41D4-3D20-4D04-9B53-039EDD5E9B16}"/>
                </a:ext>
              </a:extLst>
            </xdr:cNvPr>
            <xdr:cNvSpPr txBox="1"/>
          </xdr:nvSpPr>
          <xdr:spPr>
            <a:xfrm>
              <a:off x="792480" y="1630680"/>
              <a:ext cx="134112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FF40486-3087-4E73-99DE-E3057B402B23}" type="TxLink">
                <a:rPr lang="en-US" sz="1200" b="1" i="0" u="none" strike="noStrike">
                  <a:solidFill>
                    <a:schemeClr val="accent1"/>
                  </a:solidFill>
                  <a:latin typeface="Calibri"/>
                  <a:ea typeface="Calibri"/>
                  <a:cs typeface="Calibri"/>
                </a:rPr>
                <a:pPr algn="ctr"/>
                <a:t>3834400</a:t>
              </a:fld>
              <a:endParaRPr lang="en-IN" sz="1200" b="1">
                <a:solidFill>
                  <a:schemeClr val="accent1"/>
                </a:solidFill>
              </a:endParaRPr>
            </a:p>
          </xdr:txBody>
        </xdr:sp>
      </xdr:grpSp>
      <xdr:pic>
        <xdr:nvPicPr>
          <xdr:cNvPr id="30" name="Graphic 29" descr="Upward trend">
            <a:extLst>
              <a:ext uri="{FF2B5EF4-FFF2-40B4-BE49-F238E27FC236}">
                <a16:creationId xmlns:a16="http://schemas.microsoft.com/office/drawing/2014/main" id="{B4C481A9-5FFD-4D1A-855E-69377A06F10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1125620" y="1417740"/>
            <a:ext cx="360000" cy="360000"/>
          </a:xfrm>
          <a:prstGeom prst="rect">
            <a:avLst/>
          </a:prstGeom>
        </xdr:spPr>
      </xdr:pic>
    </xdr:grpSp>
    <xdr:clientData/>
  </xdr:twoCellAnchor>
  <xdr:twoCellAnchor>
    <xdr:from>
      <xdr:col>0</xdr:col>
      <xdr:colOff>22859</xdr:colOff>
      <xdr:row>0</xdr:row>
      <xdr:rowOff>15240</xdr:rowOff>
    </xdr:from>
    <xdr:to>
      <xdr:col>25</xdr:col>
      <xdr:colOff>376296</xdr:colOff>
      <xdr:row>5</xdr:row>
      <xdr:rowOff>15240</xdr:rowOff>
    </xdr:to>
    <xdr:grpSp>
      <xdr:nvGrpSpPr>
        <xdr:cNvPr id="33" name="Group 32">
          <a:extLst>
            <a:ext uri="{FF2B5EF4-FFF2-40B4-BE49-F238E27FC236}">
              <a16:creationId xmlns:a16="http://schemas.microsoft.com/office/drawing/2014/main" id="{B79527FE-270C-42C1-BCFA-B33118472AB7}"/>
            </a:ext>
          </a:extLst>
        </xdr:cNvPr>
        <xdr:cNvGrpSpPr/>
      </xdr:nvGrpSpPr>
      <xdr:grpSpPr>
        <a:xfrm>
          <a:off x="22859" y="15240"/>
          <a:ext cx="15593437" cy="955040"/>
          <a:chOff x="22860" y="15240"/>
          <a:chExt cx="14150340" cy="914400"/>
        </a:xfrm>
      </xdr:grpSpPr>
      <xdr:sp macro="" textlink="">
        <xdr:nvSpPr>
          <xdr:cNvPr id="2" name="Rectangle: Rounded Corners 1">
            <a:extLst>
              <a:ext uri="{FF2B5EF4-FFF2-40B4-BE49-F238E27FC236}">
                <a16:creationId xmlns:a16="http://schemas.microsoft.com/office/drawing/2014/main" id="{B568D867-A1F8-4276-B7B4-B74874588BD6}"/>
              </a:ext>
            </a:extLst>
          </xdr:cNvPr>
          <xdr:cNvSpPr/>
        </xdr:nvSpPr>
        <xdr:spPr>
          <a:xfrm>
            <a:off x="22860" y="15240"/>
            <a:ext cx="14150340" cy="914400"/>
          </a:xfrm>
          <a:prstGeom prst="roundRect">
            <a:avLst/>
          </a:prstGeom>
          <a:effectLst>
            <a:innerShdw blurRad="63500" dist="50800" dir="5400000">
              <a:prstClr val="black">
                <a:alpha val="50000"/>
              </a:prstClr>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32" name="TextBox 31">
            <a:extLst>
              <a:ext uri="{FF2B5EF4-FFF2-40B4-BE49-F238E27FC236}">
                <a16:creationId xmlns:a16="http://schemas.microsoft.com/office/drawing/2014/main" id="{F33D51E0-8681-4CE7-9E25-9883A0593C0D}"/>
              </a:ext>
            </a:extLst>
          </xdr:cNvPr>
          <xdr:cNvSpPr txBox="1"/>
        </xdr:nvSpPr>
        <xdr:spPr>
          <a:xfrm>
            <a:off x="2796540" y="38100"/>
            <a:ext cx="7833360" cy="838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accent1"/>
                </a:solidFill>
              </a:rPr>
              <a:t>SALES DASHBOSRD 2025</a:t>
            </a:r>
          </a:p>
        </xdr:txBody>
      </xdr:sp>
    </xdr:grpSp>
    <xdr:clientData/>
  </xdr:twoCellAnchor>
  <xdr:twoCellAnchor editAs="oneCell">
    <xdr:from>
      <xdr:col>0</xdr:col>
      <xdr:colOff>53340</xdr:colOff>
      <xdr:row>12</xdr:row>
      <xdr:rowOff>120508</xdr:rowOff>
    </xdr:from>
    <xdr:to>
      <xdr:col>3</xdr:col>
      <xdr:colOff>53340</xdr:colOff>
      <xdr:row>24</xdr:row>
      <xdr:rowOff>138546</xdr:rowOff>
    </xdr:to>
    <mc:AlternateContent xmlns:mc="http://schemas.openxmlformats.org/markup-compatibility/2006" xmlns:a14="http://schemas.microsoft.com/office/drawing/2010/main">
      <mc:Choice Requires="a14">
        <xdr:graphicFrame macro="">
          <xdr:nvGraphicFramePr>
            <xdr:cNvPr id="35" name="Product 1">
              <a:extLst>
                <a:ext uri="{FF2B5EF4-FFF2-40B4-BE49-F238E27FC236}">
                  <a16:creationId xmlns:a16="http://schemas.microsoft.com/office/drawing/2014/main" id="{C4DEA572-D3F0-497A-B336-2BFCA363CE47}"/>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53340" y="2337235"/>
              <a:ext cx="1835727" cy="22347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24</xdr:row>
      <xdr:rowOff>142128</xdr:rowOff>
    </xdr:from>
    <xdr:to>
      <xdr:col>3</xdr:col>
      <xdr:colOff>53340</xdr:colOff>
      <xdr:row>43</xdr:row>
      <xdr:rowOff>120588</xdr:rowOff>
    </xdr:to>
    <mc:AlternateContent xmlns:mc="http://schemas.openxmlformats.org/markup-compatibility/2006" xmlns:a14="http://schemas.microsoft.com/office/drawing/2010/main">
      <mc:Choice Requires="a14">
        <xdr:graphicFrame macro="">
          <xdr:nvGraphicFramePr>
            <xdr:cNvPr id="37" name="Sales Person 2">
              <a:extLst>
                <a:ext uri="{FF2B5EF4-FFF2-40B4-BE49-F238E27FC236}">
                  <a16:creationId xmlns:a16="http://schemas.microsoft.com/office/drawing/2014/main" id="{87D5C266-9870-4950-83A9-D97218EAEA46}"/>
                </a:ext>
              </a:extLst>
            </xdr:cNvPr>
            <xdr:cNvGraphicFramePr/>
          </xdr:nvGraphicFramePr>
          <xdr:xfrm>
            <a:off x="0" y="0"/>
            <a:ext cx="0" cy="0"/>
          </xdr:xfrm>
          <a:graphic>
            <a:graphicData uri="http://schemas.microsoft.com/office/drawing/2010/slicer">
              <sle:slicer xmlns:sle="http://schemas.microsoft.com/office/drawing/2010/slicer" name="Sales Person 2"/>
            </a:graphicData>
          </a:graphic>
        </xdr:graphicFrame>
      </mc:Choice>
      <mc:Fallback xmlns="">
        <xdr:sp macro="" textlink="">
          <xdr:nvSpPr>
            <xdr:cNvPr id="0" name=""/>
            <xdr:cNvSpPr>
              <a:spLocks noTextEdit="1"/>
            </xdr:cNvSpPr>
          </xdr:nvSpPr>
          <xdr:spPr>
            <a:xfrm>
              <a:off x="53340" y="4575583"/>
              <a:ext cx="1835727" cy="34882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472440</xdr:colOff>
      <xdr:row>12</xdr:row>
      <xdr:rowOff>0</xdr:rowOff>
    </xdr:from>
    <xdr:to>
      <xdr:col>22</xdr:col>
      <xdr:colOff>4308</xdr:colOff>
      <xdr:row>27</xdr:row>
      <xdr:rowOff>53340</xdr:rowOff>
    </xdr:to>
    <xdr:sp macro="" textlink="">
      <xdr:nvSpPr>
        <xdr:cNvPr id="44" name="Rectangle: Rounded Corners 43">
          <a:extLst>
            <a:ext uri="{FF2B5EF4-FFF2-40B4-BE49-F238E27FC236}">
              <a16:creationId xmlns:a16="http://schemas.microsoft.com/office/drawing/2014/main" id="{328C29A0-9A9B-491E-933B-96807057429E}"/>
            </a:ext>
          </a:extLst>
        </xdr:cNvPr>
        <xdr:cNvSpPr/>
      </xdr:nvSpPr>
      <xdr:spPr>
        <a:xfrm>
          <a:off x="7827397" y="2186609"/>
          <a:ext cx="5660998" cy="2786601"/>
        </a:xfrm>
        <a:prstGeom prst="roundRect">
          <a:avLst/>
        </a:prstGeom>
        <a:noFill/>
        <a:ln>
          <a:noFill/>
        </a:ln>
        <a:effectLst>
          <a:innerShdw blurRad="63500" dist="50800" dir="5400000">
            <a:prstClr val="black">
              <a:alpha val="50000"/>
            </a:prstClr>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473791</xdr:colOff>
      <xdr:row>11</xdr:row>
      <xdr:rowOff>161636</xdr:rowOff>
    </xdr:from>
    <xdr:to>
      <xdr:col>25</xdr:col>
      <xdr:colOff>454975</xdr:colOff>
      <xdr:row>27</xdr:row>
      <xdr:rowOff>30249</xdr:rowOff>
    </xdr:to>
    <xdr:grpSp>
      <xdr:nvGrpSpPr>
        <xdr:cNvPr id="51" name="Group 50">
          <a:extLst>
            <a:ext uri="{FF2B5EF4-FFF2-40B4-BE49-F238E27FC236}">
              <a16:creationId xmlns:a16="http://schemas.microsoft.com/office/drawing/2014/main" id="{637EB30D-F2E6-4429-B69A-7A86F06A1480}"/>
            </a:ext>
          </a:extLst>
        </xdr:cNvPr>
        <xdr:cNvGrpSpPr/>
      </xdr:nvGrpSpPr>
      <xdr:grpSpPr>
        <a:xfrm>
          <a:off x="10227391" y="2262724"/>
          <a:ext cx="5467584" cy="2924741"/>
          <a:chOff x="7829034" y="2144889"/>
          <a:chExt cx="5623560" cy="2734451"/>
        </a:xfrm>
        <a:effectLst>
          <a:outerShdw blurRad="50800" dist="38100" dir="5400000" algn="t" rotWithShape="0">
            <a:prstClr val="black">
              <a:alpha val="40000"/>
            </a:prstClr>
          </a:outerShdw>
        </a:effectLst>
      </xdr:grpSpPr>
      <xdr:sp macro="" textlink="">
        <xdr:nvSpPr>
          <xdr:cNvPr id="41" name="Rectangle: Rounded Corners 40">
            <a:extLst>
              <a:ext uri="{FF2B5EF4-FFF2-40B4-BE49-F238E27FC236}">
                <a16:creationId xmlns:a16="http://schemas.microsoft.com/office/drawing/2014/main" id="{707F23EF-674E-47B6-9807-BD6BEA893420}"/>
              </a:ext>
            </a:extLst>
          </xdr:cNvPr>
          <xdr:cNvSpPr/>
        </xdr:nvSpPr>
        <xdr:spPr>
          <a:xfrm>
            <a:off x="7829034" y="2144889"/>
            <a:ext cx="5623560" cy="2734451"/>
          </a:xfrm>
          <a:prstGeom prst="roundRect">
            <a:avLst/>
          </a:prstGeom>
          <a:noFill/>
          <a:effectLst>
            <a:innerShdw blurRad="63500" dist="50800" dir="5400000">
              <a:prstClr val="black">
                <a:alpha val="50000"/>
              </a:prstClr>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25" name="TextBox 24">
            <a:extLst>
              <a:ext uri="{FF2B5EF4-FFF2-40B4-BE49-F238E27FC236}">
                <a16:creationId xmlns:a16="http://schemas.microsoft.com/office/drawing/2014/main" id="{66048EB3-5CA1-4CA1-8760-95678F0F65DE}"/>
              </a:ext>
            </a:extLst>
          </xdr:cNvPr>
          <xdr:cNvSpPr txBox="1"/>
        </xdr:nvSpPr>
        <xdr:spPr>
          <a:xfrm>
            <a:off x="8156323" y="2295407"/>
            <a:ext cx="1707993" cy="206963"/>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100" b="1">
                <a:solidFill>
                  <a:schemeClr val="accent1"/>
                </a:solidFill>
              </a:rPr>
              <a:t>TOTAL SALES BY REGION</a:t>
            </a:r>
            <a:r>
              <a:rPr lang="en-IN" sz="1100">
                <a:solidFill>
                  <a:schemeClr val="accent1"/>
                </a:solidFill>
              </a:rPr>
              <a:t> </a:t>
            </a:r>
          </a:p>
        </xdr:txBody>
      </xdr:sp>
      <xdr:graphicFrame macro="">
        <xdr:nvGraphicFramePr>
          <xdr:cNvPr id="48" name="Chart 47">
            <a:extLst>
              <a:ext uri="{FF2B5EF4-FFF2-40B4-BE49-F238E27FC236}">
                <a16:creationId xmlns:a16="http://schemas.microsoft.com/office/drawing/2014/main" id="{84856CE7-EFBA-45DF-8C4B-44AF13F9BBE9}"/>
              </a:ext>
            </a:extLst>
          </xdr:cNvPr>
          <xdr:cNvGraphicFramePr>
            <a:graphicFrameLocks/>
          </xdr:cNvGraphicFramePr>
        </xdr:nvGraphicFramePr>
        <xdr:xfrm>
          <a:off x="8146815" y="2445926"/>
          <a:ext cx="4941642" cy="2276593"/>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3</xdr:col>
      <xdr:colOff>543056</xdr:colOff>
      <xdr:row>12</xdr:row>
      <xdr:rowOff>30480</xdr:rowOff>
    </xdr:from>
    <xdr:to>
      <xdr:col>15</xdr:col>
      <xdr:colOff>385272</xdr:colOff>
      <xdr:row>27</xdr:row>
      <xdr:rowOff>70142</xdr:rowOff>
    </xdr:to>
    <xdr:grpSp>
      <xdr:nvGrpSpPr>
        <xdr:cNvPr id="52" name="Group 51">
          <a:extLst>
            <a:ext uri="{FF2B5EF4-FFF2-40B4-BE49-F238E27FC236}">
              <a16:creationId xmlns:a16="http://schemas.microsoft.com/office/drawing/2014/main" id="{72C0744D-D25C-4653-AF9A-C2D48ED68AD5}"/>
            </a:ext>
          </a:extLst>
        </xdr:cNvPr>
        <xdr:cNvGrpSpPr/>
      </xdr:nvGrpSpPr>
      <xdr:grpSpPr>
        <a:xfrm>
          <a:off x="2371856" y="2322576"/>
          <a:ext cx="7157416" cy="2904782"/>
          <a:chOff x="2047804" y="2175369"/>
          <a:chExt cx="5648114" cy="2734451"/>
        </a:xfrm>
        <a:effectLst>
          <a:outerShdw blurRad="50800" dist="38100" dir="5400000" algn="t" rotWithShape="0">
            <a:prstClr val="black">
              <a:alpha val="40000"/>
            </a:prstClr>
          </a:outerShdw>
        </a:effectLst>
      </xdr:grpSpPr>
      <xdr:sp macro="" textlink="">
        <xdr:nvSpPr>
          <xdr:cNvPr id="38" name="Rectangle: Rounded Corners 37">
            <a:extLst>
              <a:ext uri="{FF2B5EF4-FFF2-40B4-BE49-F238E27FC236}">
                <a16:creationId xmlns:a16="http://schemas.microsoft.com/office/drawing/2014/main" id="{5BF28130-6ADF-4426-A9D1-4CFC30FC5204}"/>
              </a:ext>
            </a:extLst>
          </xdr:cNvPr>
          <xdr:cNvSpPr/>
        </xdr:nvSpPr>
        <xdr:spPr>
          <a:xfrm>
            <a:off x="2047804" y="2175369"/>
            <a:ext cx="5648114" cy="2734451"/>
          </a:xfrm>
          <a:prstGeom prst="roundRect">
            <a:avLst/>
          </a:prstGeom>
          <a:noFill/>
          <a:effectLst>
            <a:innerShdw blurRad="63500" dist="50800" dir="5400000">
              <a:prstClr val="black">
                <a:alpha val="50000"/>
              </a:prstClr>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39" name="TextBox 38">
            <a:extLst>
              <a:ext uri="{FF2B5EF4-FFF2-40B4-BE49-F238E27FC236}">
                <a16:creationId xmlns:a16="http://schemas.microsoft.com/office/drawing/2014/main" id="{8A979E9B-35B8-4186-A6E4-DE5F9C934712}"/>
              </a:ext>
            </a:extLst>
          </xdr:cNvPr>
          <xdr:cNvSpPr txBox="1"/>
        </xdr:nvSpPr>
        <xdr:spPr>
          <a:xfrm>
            <a:off x="2375465" y="2323629"/>
            <a:ext cx="1348109" cy="246568"/>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accent1"/>
                </a:solidFill>
              </a:rPr>
              <a:t>UNIT SOLD</a:t>
            </a:r>
            <a:r>
              <a:rPr lang="en-IN" sz="1100" b="1" baseline="0">
                <a:solidFill>
                  <a:schemeClr val="accent1"/>
                </a:solidFill>
              </a:rPr>
              <a:t> BY PRODUCT</a:t>
            </a:r>
          </a:p>
          <a:p>
            <a:endParaRPr lang="en-IN" sz="1100" b="1"/>
          </a:p>
        </xdr:txBody>
      </xdr:sp>
      <xdr:graphicFrame macro="">
        <xdr:nvGraphicFramePr>
          <xdr:cNvPr id="40" name="Chart 39">
            <a:extLst>
              <a:ext uri="{FF2B5EF4-FFF2-40B4-BE49-F238E27FC236}">
                <a16:creationId xmlns:a16="http://schemas.microsoft.com/office/drawing/2014/main" id="{7F300168-F826-45F8-A9CA-4A59FAFCCB0E}"/>
              </a:ext>
            </a:extLst>
          </xdr:cNvPr>
          <xdr:cNvGraphicFramePr>
            <a:graphicFrameLocks/>
          </xdr:cNvGraphicFramePr>
        </xdr:nvGraphicFramePr>
        <xdr:xfrm>
          <a:off x="2223064" y="2198229"/>
          <a:ext cx="5427134" cy="2681111"/>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3</xdr:col>
      <xdr:colOff>545627</xdr:colOff>
      <xdr:row>28</xdr:row>
      <xdr:rowOff>48065</xdr:rowOff>
    </xdr:from>
    <xdr:to>
      <xdr:col>13</xdr:col>
      <xdr:colOff>28221</xdr:colOff>
      <xdr:row>44</xdr:row>
      <xdr:rowOff>37629</xdr:rowOff>
    </xdr:to>
    <xdr:grpSp>
      <xdr:nvGrpSpPr>
        <xdr:cNvPr id="58" name="Group 57">
          <a:extLst>
            <a:ext uri="{FF2B5EF4-FFF2-40B4-BE49-F238E27FC236}">
              <a16:creationId xmlns:a16="http://schemas.microsoft.com/office/drawing/2014/main" id="{65FC8313-9E38-447E-96DB-FF01941774AF}"/>
            </a:ext>
          </a:extLst>
        </xdr:cNvPr>
        <xdr:cNvGrpSpPr/>
      </xdr:nvGrpSpPr>
      <xdr:grpSpPr>
        <a:xfrm>
          <a:off x="2374427" y="5396289"/>
          <a:ext cx="5578594" cy="3045692"/>
          <a:chOff x="2314221" y="5043398"/>
          <a:chExt cx="5597409" cy="2924676"/>
        </a:xfrm>
        <a:effectLst>
          <a:outerShdw blurRad="50800" dist="38100" dir="5400000" algn="t" rotWithShape="0">
            <a:prstClr val="black">
              <a:alpha val="40000"/>
            </a:prstClr>
          </a:outerShdw>
        </a:effectLst>
      </xdr:grpSpPr>
      <xdr:sp macro="" textlink="">
        <xdr:nvSpPr>
          <xdr:cNvPr id="42" name="Rectangle: Rounded Corners 41">
            <a:extLst>
              <a:ext uri="{FF2B5EF4-FFF2-40B4-BE49-F238E27FC236}">
                <a16:creationId xmlns:a16="http://schemas.microsoft.com/office/drawing/2014/main" id="{5FB627B5-1683-4032-9694-4F5C77ABEDE6}"/>
              </a:ext>
            </a:extLst>
          </xdr:cNvPr>
          <xdr:cNvSpPr/>
        </xdr:nvSpPr>
        <xdr:spPr>
          <a:xfrm>
            <a:off x="2314221" y="5043398"/>
            <a:ext cx="5597409" cy="2924676"/>
          </a:xfrm>
          <a:prstGeom prst="roundRect">
            <a:avLst/>
          </a:prstGeom>
          <a:noFill/>
          <a:effectLst>
            <a:innerShdw blurRad="63500" dist="50800" dir="5400000">
              <a:prstClr val="black">
                <a:alpha val="50000"/>
              </a:prstClr>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46" name="TextBox 45">
            <a:extLst>
              <a:ext uri="{FF2B5EF4-FFF2-40B4-BE49-F238E27FC236}">
                <a16:creationId xmlns:a16="http://schemas.microsoft.com/office/drawing/2014/main" id="{EBAB38A9-FA12-435B-A5A5-F303E1875195}"/>
              </a:ext>
            </a:extLst>
          </xdr:cNvPr>
          <xdr:cNvSpPr txBox="1"/>
        </xdr:nvSpPr>
        <xdr:spPr>
          <a:xfrm>
            <a:off x="2690422" y="5202299"/>
            <a:ext cx="1726772" cy="23950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b="1">
                <a:solidFill>
                  <a:schemeClr val="accent1"/>
                </a:solidFill>
                <a:effectLst/>
                <a:latin typeface="+mn-lt"/>
                <a:ea typeface="+mn-ea"/>
                <a:cs typeface="+mn-cs"/>
              </a:rPr>
              <a:t>TOTAL SALES BY PRODUCT</a:t>
            </a:r>
            <a:r>
              <a:rPr lang="en-IN" sz="1100">
                <a:solidFill>
                  <a:schemeClr val="accent1"/>
                </a:solidFill>
                <a:effectLst/>
                <a:latin typeface="+mn-lt"/>
                <a:ea typeface="+mn-ea"/>
                <a:cs typeface="+mn-cs"/>
              </a:rPr>
              <a:t> </a:t>
            </a:r>
            <a:endParaRPr lang="en-IN">
              <a:solidFill>
                <a:schemeClr val="accent1"/>
              </a:solidFill>
              <a:effectLst/>
            </a:endParaRPr>
          </a:p>
        </xdr:txBody>
      </xdr:sp>
      <xdr:graphicFrame macro="">
        <xdr:nvGraphicFramePr>
          <xdr:cNvPr id="49" name="Chart 48">
            <a:extLst>
              <a:ext uri="{FF2B5EF4-FFF2-40B4-BE49-F238E27FC236}">
                <a16:creationId xmlns:a16="http://schemas.microsoft.com/office/drawing/2014/main" id="{7EA1488A-BBC4-4FF6-AC13-9B7A4DF35D5C}"/>
              </a:ext>
            </a:extLst>
          </xdr:cNvPr>
          <xdr:cNvGraphicFramePr>
            <a:graphicFrameLocks/>
          </xdr:cNvGraphicFramePr>
        </xdr:nvGraphicFramePr>
        <xdr:xfrm>
          <a:off x="2690519" y="5452590"/>
          <a:ext cx="4735695" cy="2299115"/>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14</xdr:col>
      <xdr:colOff>28224</xdr:colOff>
      <xdr:row>28</xdr:row>
      <xdr:rowOff>56444</xdr:rowOff>
    </xdr:from>
    <xdr:to>
      <xdr:col>25</xdr:col>
      <xdr:colOff>479778</xdr:colOff>
      <xdr:row>44</xdr:row>
      <xdr:rowOff>24742</xdr:rowOff>
    </xdr:to>
    <xdr:grpSp>
      <xdr:nvGrpSpPr>
        <xdr:cNvPr id="55" name="Group 54">
          <a:extLst>
            <a:ext uri="{FF2B5EF4-FFF2-40B4-BE49-F238E27FC236}">
              <a16:creationId xmlns:a16="http://schemas.microsoft.com/office/drawing/2014/main" id="{D01B7866-FCE4-499F-A2FA-EF67223B568F}"/>
            </a:ext>
          </a:extLst>
        </xdr:cNvPr>
        <xdr:cNvGrpSpPr/>
      </xdr:nvGrpSpPr>
      <xdr:grpSpPr>
        <a:xfrm>
          <a:off x="8562624" y="5404668"/>
          <a:ext cx="7157154" cy="3024426"/>
          <a:chOff x="7825458" y="5001260"/>
          <a:chExt cx="5649995" cy="3004444"/>
        </a:xfrm>
        <a:effectLst>
          <a:outerShdw blurRad="50800" dist="38100" dir="5400000" algn="t" rotWithShape="0">
            <a:prstClr val="black">
              <a:alpha val="40000"/>
            </a:prstClr>
          </a:outerShdw>
        </a:effectLst>
      </xdr:grpSpPr>
      <xdr:sp macro="" textlink="">
        <xdr:nvSpPr>
          <xdr:cNvPr id="43" name="Rectangle: Rounded Corners 42">
            <a:extLst>
              <a:ext uri="{FF2B5EF4-FFF2-40B4-BE49-F238E27FC236}">
                <a16:creationId xmlns:a16="http://schemas.microsoft.com/office/drawing/2014/main" id="{7B5E7CB5-4851-4075-9ACA-57B66D0D2032}"/>
              </a:ext>
            </a:extLst>
          </xdr:cNvPr>
          <xdr:cNvSpPr/>
        </xdr:nvSpPr>
        <xdr:spPr>
          <a:xfrm>
            <a:off x="7825458" y="5001260"/>
            <a:ext cx="5649995" cy="3004444"/>
          </a:xfrm>
          <a:prstGeom prst="roundRect">
            <a:avLst/>
          </a:prstGeom>
          <a:noFill/>
          <a:effectLst>
            <a:innerShdw blurRad="63500" dist="50800" dir="5400000">
              <a:prstClr val="black">
                <a:alpha val="50000"/>
              </a:prstClr>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sp macro="" textlink="">
        <xdr:nvSpPr>
          <xdr:cNvPr id="47" name="TextBox 46">
            <a:extLst>
              <a:ext uri="{FF2B5EF4-FFF2-40B4-BE49-F238E27FC236}">
                <a16:creationId xmlns:a16="http://schemas.microsoft.com/office/drawing/2014/main" id="{DE1161C8-3A47-4DBA-A9BA-89D70D2AB501}"/>
              </a:ext>
            </a:extLst>
          </xdr:cNvPr>
          <xdr:cNvSpPr txBox="1"/>
        </xdr:nvSpPr>
        <xdr:spPr>
          <a:xfrm>
            <a:off x="8239151" y="5208331"/>
            <a:ext cx="1615269" cy="23265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100" b="1">
                <a:solidFill>
                  <a:schemeClr val="accent1"/>
                </a:solidFill>
                <a:effectLst/>
                <a:latin typeface="+mn-lt"/>
                <a:ea typeface="+mn-ea"/>
                <a:cs typeface="+mn-cs"/>
              </a:rPr>
              <a:t>TOTAL SALES BY SALES PERSON</a:t>
            </a:r>
            <a:endParaRPr lang="en-IN" sz="1100">
              <a:solidFill>
                <a:schemeClr val="accent1"/>
              </a:solidFill>
            </a:endParaRPr>
          </a:p>
        </xdr:txBody>
      </xdr:sp>
      <xdr:graphicFrame macro="">
        <xdr:nvGraphicFramePr>
          <xdr:cNvPr id="50" name="Chart 49">
            <a:extLst>
              <a:ext uri="{FF2B5EF4-FFF2-40B4-BE49-F238E27FC236}">
                <a16:creationId xmlns:a16="http://schemas.microsoft.com/office/drawing/2014/main" id="{F4C11E0C-7389-4C0D-A9F9-A5A038E799B5}"/>
              </a:ext>
            </a:extLst>
          </xdr:cNvPr>
          <xdr:cNvGraphicFramePr>
            <a:graphicFrameLocks/>
          </xdr:cNvGraphicFramePr>
        </xdr:nvGraphicFramePr>
        <xdr:xfrm>
          <a:off x="8371088" y="5142371"/>
          <a:ext cx="4640580" cy="2743200"/>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editAs="oneCell">
    <xdr:from>
      <xdr:col>19</xdr:col>
      <xdr:colOff>0</xdr:colOff>
      <xdr:row>6</xdr:row>
      <xdr:rowOff>57727</xdr:rowOff>
    </xdr:from>
    <xdr:to>
      <xdr:col>25</xdr:col>
      <xdr:colOff>300182</xdr:colOff>
      <xdr:row>9</xdr:row>
      <xdr:rowOff>161637</xdr:rowOff>
    </xdr:to>
    <mc:AlternateContent xmlns:mc="http://schemas.openxmlformats.org/markup-compatibility/2006" xmlns:a14="http://schemas.microsoft.com/office/drawing/2010/main">
      <mc:Choice Requires="a14">
        <xdr:graphicFrame macro="">
          <xdr:nvGraphicFramePr>
            <xdr:cNvPr id="53" name="Region 1">
              <a:extLst>
                <a:ext uri="{FF2B5EF4-FFF2-40B4-BE49-F238E27FC236}">
                  <a16:creationId xmlns:a16="http://schemas.microsoft.com/office/drawing/2014/main" id="{91570110-FD60-49A6-9E9F-F23B54A7CCD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626273" y="1166091"/>
              <a:ext cx="3971636" cy="6580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11547</xdr:colOff>
      <xdr:row>45</xdr:row>
      <xdr:rowOff>23089</xdr:rowOff>
    </xdr:from>
    <xdr:to>
      <xdr:col>25</xdr:col>
      <xdr:colOff>369455</xdr:colOff>
      <xdr:row>76</xdr:row>
      <xdr:rowOff>150091</xdr:rowOff>
    </xdr:to>
    <mc:AlternateContent xmlns:mc="http://schemas.openxmlformats.org/markup-compatibility/2006">
      <mc:Choice xmlns:cx4="http://schemas.microsoft.com/office/drawing/2016/5/10/chartex" Requires="cx4">
        <xdr:graphicFrame macro="">
          <xdr:nvGraphicFramePr>
            <xdr:cNvPr id="36" name="Chart 35">
              <a:extLst>
                <a:ext uri="{FF2B5EF4-FFF2-40B4-BE49-F238E27FC236}">
                  <a16:creationId xmlns:a16="http://schemas.microsoft.com/office/drawing/2014/main" id="{35970727-10B0-44F1-8829-183A2504931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342900</xdr:colOff>
      <xdr:row>14</xdr:row>
      <xdr:rowOff>175260</xdr:rowOff>
    </xdr:from>
    <xdr:to>
      <xdr:col>10</xdr:col>
      <xdr:colOff>944880</xdr:colOff>
      <xdr:row>33</xdr:row>
      <xdr:rowOff>38100</xdr:rowOff>
    </xdr:to>
    <xdr:graphicFrame macro="">
      <xdr:nvGraphicFramePr>
        <xdr:cNvPr id="3" name="Chart 2">
          <a:extLst>
            <a:ext uri="{FF2B5EF4-FFF2-40B4-BE49-F238E27FC236}">
              <a16:creationId xmlns:a16="http://schemas.microsoft.com/office/drawing/2014/main" id="{F86F1381-9719-4ADB-B8D4-62DC8733F9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350520</xdr:colOff>
      <xdr:row>33</xdr:row>
      <xdr:rowOff>60960</xdr:rowOff>
    </xdr:from>
    <xdr:to>
      <xdr:col>5</xdr:col>
      <xdr:colOff>335280</xdr:colOff>
      <xdr:row>48</xdr:row>
      <xdr:rowOff>60960</xdr:rowOff>
    </xdr:to>
    <xdr:graphicFrame macro="">
      <xdr:nvGraphicFramePr>
        <xdr:cNvPr id="5" name="Chart 4">
          <a:extLst>
            <a:ext uri="{FF2B5EF4-FFF2-40B4-BE49-F238E27FC236}">
              <a16:creationId xmlns:a16="http://schemas.microsoft.com/office/drawing/2014/main" id="{730F898C-A57E-478B-BEB4-7C18F1D240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342900</xdr:colOff>
      <xdr:row>33</xdr:row>
      <xdr:rowOff>68580</xdr:rowOff>
    </xdr:from>
    <xdr:to>
      <xdr:col>10</xdr:col>
      <xdr:colOff>967740</xdr:colOff>
      <xdr:row>48</xdr:row>
      <xdr:rowOff>68580</xdr:rowOff>
    </xdr:to>
    <xdr:graphicFrame macro="">
      <xdr:nvGraphicFramePr>
        <xdr:cNvPr id="7" name="Chart 6">
          <a:extLst>
            <a:ext uri="{FF2B5EF4-FFF2-40B4-BE49-F238E27FC236}">
              <a16:creationId xmlns:a16="http://schemas.microsoft.com/office/drawing/2014/main" id="{B9251C17-FE18-4BFE-9F51-F40581E5CC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274320</xdr:colOff>
      <xdr:row>6</xdr:row>
      <xdr:rowOff>83820</xdr:rowOff>
    </xdr:from>
    <xdr:to>
      <xdr:col>16</xdr:col>
      <xdr:colOff>182880</xdr:colOff>
      <xdr:row>19</xdr:row>
      <xdr:rowOff>173355</xdr:rowOff>
    </xdr:to>
    <mc:AlternateContent xmlns:mc="http://schemas.openxmlformats.org/markup-compatibility/2006" xmlns:a14="http://schemas.microsoft.com/office/drawing/2010/main">
      <mc:Choice Requires="a14">
        <xdr:graphicFrame macro="">
          <xdr:nvGraphicFramePr>
            <xdr:cNvPr id="4" name="Sales Person">
              <a:extLst>
                <a:ext uri="{FF2B5EF4-FFF2-40B4-BE49-F238E27FC236}">
                  <a16:creationId xmlns:a16="http://schemas.microsoft.com/office/drawing/2014/main" id="{EE3AE2CE-726C-4D43-BFE6-81A159374318}"/>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10294620" y="1181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182880</xdr:colOff>
      <xdr:row>1</xdr:row>
      <xdr:rowOff>167641</xdr:rowOff>
    </xdr:from>
    <xdr:to>
      <xdr:col>16</xdr:col>
      <xdr:colOff>91440</xdr:colOff>
      <xdr:row>5</xdr:row>
      <xdr:rowOff>137160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A6DD84F9-1C63-4062-8712-47538296FBB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203180" y="350521"/>
              <a:ext cx="1828800" cy="701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205740</xdr:colOff>
      <xdr:row>20</xdr:row>
      <xdr:rowOff>152400</xdr:rowOff>
    </xdr:from>
    <xdr:to>
      <xdr:col>16</xdr:col>
      <xdr:colOff>114300</xdr:colOff>
      <xdr:row>34</xdr:row>
      <xdr:rowOff>59055</xdr:rowOff>
    </xdr:to>
    <mc:AlternateContent xmlns:mc="http://schemas.openxmlformats.org/markup-compatibility/2006" xmlns:a14="http://schemas.microsoft.com/office/drawing/2010/main">
      <mc:Choice Requires="a14">
        <xdr:graphicFrame macro="">
          <xdr:nvGraphicFramePr>
            <xdr:cNvPr id="8" name="Product">
              <a:extLst>
                <a:ext uri="{FF2B5EF4-FFF2-40B4-BE49-F238E27FC236}">
                  <a16:creationId xmlns:a16="http://schemas.microsoft.com/office/drawing/2014/main" id="{7868F1D8-80B2-449F-BEEE-F37F1A18A45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0226040" y="3810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897.830398495367" createdVersion="6" refreshedVersion="6" minRefreshableVersion="3" recordCount="50" xr:uid="{00000000-000A-0000-FFFF-FFFF00000000}">
  <cacheSource type="worksheet">
    <worksheetSource name="Table4"/>
  </cacheSource>
  <cacheFields count="10">
    <cacheField name="Date" numFmtId="0">
      <sharedItems/>
    </cacheField>
    <cacheField name="Sales Person" numFmtId="0">
      <sharedItems count="10">
        <s v="Andrew"/>
        <s v="Grace"/>
        <s v="Ella"/>
        <s v="Cameron"/>
        <s v="Megan"/>
        <s v="Carolyn"/>
        <s v="Virginia"/>
        <s v="Connor"/>
        <s v="Anna"/>
        <s v="Nicholas"/>
      </sharedItems>
    </cacheField>
    <cacheField name="States" numFmtId="0">
      <sharedItems/>
    </cacheField>
    <cacheField name="Region" numFmtId="0">
      <sharedItems count="4">
        <s v="West"/>
        <s v="East"/>
        <s v="South"/>
        <s v="North"/>
      </sharedItems>
    </cacheField>
    <cacheField name="Product" numFmtId="0">
      <sharedItems count="7">
        <s v="Tent"/>
        <s v="Blender"/>
        <s v="Action Figure"/>
        <s v="Novel"/>
        <s v="Sneakers"/>
        <s v="Moisturizer"/>
        <s v="Smartphone"/>
      </sharedItems>
    </cacheField>
    <cacheField name="Units Sold" numFmtId="0">
      <sharedItems containsSemiMixedTypes="0" containsString="0" containsNumber="1" containsInteger="1" minValue="51" maxValue="149"/>
    </cacheField>
    <cacheField name="Unit Price" numFmtId="0">
      <sharedItems containsSemiMixedTypes="0" containsString="0" containsNumber="1" containsInteger="1" minValue="600" maxValue="10000"/>
    </cacheField>
    <cacheField name="Cost of Goods" numFmtId="164">
      <sharedItems containsSemiMixedTypes="0" containsString="0" containsNumber="1" containsInteger="1" minValue="400" maxValue="7000"/>
    </cacheField>
    <cacheField name="Total Sales" numFmtId="164">
      <sharedItems containsSemiMixedTypes="0" containsString="0" containsNumber="1" containsInteger="1" minValue="34200" maxValue="1270000"/>
    </cacheField>
    <cacheField name="Profit" numFmtId="164">
      <sharedItems containsSemiMixedTypes="0" containsString="0" containsNumber="1" containsInteger="1" minValue="11400" maxValue="381000"/>
    </cacheField>
  </cacheFields>
  <extLst>
    <ext xmlns:x14="http://schemas.microsoft.com/office/spreadsheetml/2009/9/main" uri="{725AE2AE-9491-48be-B2B4-4EB974FC3084}">
      <x14:pivotCacheDefinition pivotCacheId="17506617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2/19/2021"/>
    <x v="0"/>
    <s v="Maharashtra"/>
    <x v="0"/>
    <x v="0"/>
    <n v="84"/>
    <n v="6000"/>
    <n v="4000"/>
    <n v="504000"/>
    <n v="168000"/>
  </r>
  <r>
    <s v="9/7/2021"/>
    <x v="1"/>
    <s v="West Bengal"/>
    <x v="1"/>
    <x v="1"/>
    <n v="128"/>
    <n v="3500"/>
    <n v="2500"/>
    <n v="448000"/>
    <n v="128000"/>
  </r>
  <r>
    <s v="2/3/2021"/>
    <x v="2"/>
    <s v="Tamil Nadu"/>
    <x v="2"/>
    <x v="2"/>
    <n v="136"/>
    <n v="1200"/>
    <n v="800"/>
    <n v="163200"/>
    <n v="54400"/>
  </r>
  <r>
    <s v="9/11/2020"/>
    <x v="3"/>
    <s v="Delhi"/>
    <x v="3"/>
    <x v="3"/>
    <n v="91"/>
    <n v="1000"/>
    <n v="700"/>
    <n v="91000"/>
    <n v="27300"/>
  </r>
  <r>
    <s v="9/23/2021"/>
    <x v="4"/>
    <s v="Maharashtra"/>
    <x v="0"/>
    <x v="4"/>
    <n v="110"/>
    <n v="4000"/>
    <n v="3000"/>
    <n v="440000"/>
    <n v="110000"/>
  </r>
  <r>
    <s v="10/1/2020"/>
    <x v="5"/>
    <s v="West Bengal"/>
    <x v="1"/>
    <x v="2"/>
    <n v="51"/>
    <n v="1200"/>
    <n v="800"/>
    <n v="61200"/>
    <n v="20400"/>
  </r>
  <r>
    <s v="8/5/2021"/>
    <x v="6"/>
    <s v="Delhi"/>
    <x v="3"/>
    <x v="3"/>
    <n v="78"/>
    <n v="1000"/>
    <n v="700"/>
    <n v="78000"/>
    <n v="23400"/>
  </r>
  <r>
    <s v="11/6/2020"/>
    <x v="7"/>
    <s v="Tamil Nadu"/>
    <x v="2"/>
    <x v="0"/>
    <n v="146"/>
    <n v="6000"/>
    <n v="4000"/>
    <n v="876000"/>
    <n v="292000"/>
  </r>
  <r>
    <s v="1/27/2021"/>
    <x v="8"/>
    <s v="Maharashtra"/>
    <x v="0"/>
    <x v="5"/>
    <n v="101"/>
    <n v="600"/>
    <n v="400"/>
    <n v="60600"/>
    <n v="20200"/>
  </r>
  <r>
    <s v="9/3/2021"/>
    <x v="9"/>
    <s v="Tamil Nadu"/>
    <x v="2"/>
    <x v="0"/>
    <n v="52"/>
    <n v="6000"/>
    <n v="4000"/>
    <n v="312000"/>
    <n v="104000"/>
  </r>
  <r>
    <s v="9/30/2021"/>
    <x v="9"/>
    <s v="West Bengal"/>
    <x v="1"/>
    <x v="2"/>
    <n v="55"/>
    <n v="1200"/>
    <n v="800"/>
    <n v="66000"/>
    <n v="22000"/>
  </r>
  <r>
    <s v="9/10/2020"/>
    <x v="9"/>
    <s v="Tamil Nadu"/>
    <x v="2"/>
    <x v="3"/>
    <n v="137"/>
    <n v="1000"/>
    <n v="700"/>
    <n v="137000"/>
    <n v="41100"/>
  </r>
  <r>
    <s v="7/27/2021"/>
    <x v="7"/>
    <s v="Tamil Nadu"/>
    <x v="2"/>
    <x v="1"/>
    <n v="96"/>
    <n v="3500"/>
    <n v="2500"/>
    <n v="336000"/>
    <n v="96000"/>
  </r>
  <r>
    <s v="10/9/2020"/>
    <x v="8"/>
    <s v="West Bengal"/>
    <x v="1"/>
    <x v="4"/>
    <n v="52"/>
    <n v="4000"/>
    <n v="3000"/>
    <n v="208000"/>
    <n v="52000"/>
  </r>
  <r>
    <s v="4/6/2021"/>
    <x v="3"/>
    <s v="Maharashtra"/>
    <x v="0"/>
    <x v="1"/>
    <n v="76"/>
    <n v="3500"/>
    <n v="2500"/>
    <n v="266000"/>
    <n v="76000"/>
  </r>
  <r>
    <s v="6/15/2021"/>
    <x v="1"/>
    <s v="Delhi"/>
    <x v="3"/>
    <x v="4"/>
    <n v="145"/>
    <n v="4000"/>
    <n v="3000"/>
    <n v="580000"/>
    <n v="145000"/>
  </r>
  <r>
    <s v="9/9/2020"/>
    <x v="0"/>
    <s v="Tamil Nadu"/>
    <x v="2"/>
    <x v="5"/>
    <n v="83"/>
    <n v="600"/>
    <n v="400"/>
    <n v="49800"/>
    <n v="16600"/>
  </r>
  <r>
    <s v="8/13/2021"/>
    <x v="4"/>
    <s v="Tamil Nadu"/>
    <x v="2"/>
    <x v="3"/>
    <n v="91"/>
    <n v="1000"/>
    <n v="700"/>
    <n v="91000"/>
    <n v="27300"/>
  </r>
  <r>
    <s v="8/27/2020"/>
    <x v="5"/>
    <s v="Maharashtra"/>
    <x v="0"/>
    <x v="6"/>
    <n v="108"/>
    <n v="10000"/>
    <n v="7000"/>
    <n v="1080000"/>
    <n v="324000"/>
  </r>
  <r>
    <s v="4/7/2021"/>
    <x v="2"/>
    <s v="Delhi"/>
    <x v="3"/>
    <x v="4"/>
    <n v="144"/>
    <n v="4000"/>
    <n v="3000"/>
    <n v="576000"/>
    <n v="144000"/>
  </r>
  <r>
    <s v="6/8/2020"/>
    <x v="4"/>
    <s v="Tamil Nadu"/>
    <x v="2"/>
    <x v="5"/>
    <n v="92"/>
    <n v="600"/>
    <n v="400"/>
    <n v="55200"/>
    <n v="18400"/>
  </r>
  <r>
    <s v="12/21/2021"/>
    <x v="7"/>
    <s v="Maharashtra"/>
    <x v="0"/>
    <x v="0"/>
    <n v="71"/>
    <n v="6000"/>
    <n v="4000"/>
    <n v="426000"/>
    <n v="142000"/>
  </r>
  <r>
    <s v="8/10/2021"/>
    <x v="0"/>
    <s v="West Bengal"/>
    <x v="1"/>
    <x v="5"/>
    <n v="103"/>
    <n v="600"/>
    <n v="400"/>
    <n v="61800"/>
    <n v="20600"/>
  </r>
  <r>
    <s v="12/2/2021"/>
    <x v="9"/>
    <s v="Delhi"/>
    <x v="3"/>
    <x v="3"/>
    <n v="55"/>
    <n v="1000"/>
    <n v="700"/>
    <n v="55000"/>
    <n v="16500"/>
  </r>
  <r>
    <s v="8/30/2021"/>
    <x v="5"/>
    <s v="West Bengal"/>
    <x v="1"/>
    <x v="4"/>
    <n v="93"/>
    <n v="4000"/>
    <n v="3000"/>
    <n v="372000"/>
    <n v="93000"/>
  </r>
  <r>
    <s v="5/20/2020"/>
    <x v="2"/>
    <s v="Tamil Nadu"/>
    <x v="2"/>
    <x v="5"/>
    <n v="143"/>
    <n v="600"/>
    <n v="400"/>
    <n v="85800"/>
    <n v="28600"/>
  </r>
  <r>
    <s v="9/13/2021"/>
    <x v="6"/>
    <s v="Maharashtra"/>
    <x v="0"/>
    <x v="1"/>
    <n v="143"/>
    <n v="3500"/>
    <n v="2500"/>
    <n v="500500"/>
    <n v="143000"/>
  </r>
  <r>
    <s v="10/27/2021"/>
    <x v="8"/>
    <s v="Delhi"/>
    <x v="3"/>
    <x v="5"/>
    <n v="99"/>
    <n v="600"/>
    <n v="400"/>
    <n v="59400"/>
    <n v="19800"/>
  </r>
  <r>
    <s v="12/22/2020"/>
    <x v="3"/>
    <s v="Maharashtra"/>
    <x v="0"/>
    <x v="3"/>
    <n v="120"/>
    <n v="1000"/>
    <n v="700"/>
    <n v="120000"/>
    <n v="36000"/>
  </r>
  <r>
    <s v="7/28/2021"/>
    <x v="1"/>
    <s v="Tamil Nadu"/>
    <x v="2"/>
    <x v="1"/>
    <n v="66"/>
    <n v="3500"/>
    <n v="2500"/>
    <n v="231000"/>
    <n v="66000"/>
  </r>
  <r>
    <s v="9/29/2020"/>
    <x v="8"/>
    <s v="Delhi"/>
    <x v="3"/>
    <x v="2"/>
    <n v="88"/>
    <n v="1200"/>
    <n v="800"/>
    <n v="105600"/>
    <n v="35200"/>
  </r>
  <r>
    <s v="10/22/2020"/>
    <x v="3"/>
    <s v="West Bengal"/>
    <x v="1"/>
    <x v="6"/>
    <n v="127"/>
    <n v="10000"/>
    <n v="7000"/>
    <n v="1270000"/>
    <n v="381000"/>
  </r>
  <r>
    <s v="5/19/2020"/>
    <x v="4"/>
    <s v="Maharashtra"/>
    <x v="0"/>
    <x v="4"/>
    <n v="67"/>
    <n v="4000"/>
    <n v="3000"/>
    <n v="268000"/>
    <n v="67000"/>
  </r>
  <r>
    <s v="12/6/2021"/>
    <x v="1"/>
    <s v="West Bengal"/>
    <x v="1"/>
    <x v="2"/>
    <n v="67"/>
    <n v="1200"/>
    <n v="800"/>
    <n v="80400"/>
    <n v="26800"/>
  </r>
  <r>
    <s v="8/26/2020"/>
    <x v="9"/>
    <s v="Tamil Nadu"/>
    <x v="2"/>
    <x v="3"/>
    <n v="149"/>
    <n v="1000"/>
    <n v="700"/>
    <n v="149000"/>
    <n v="44700"/>
  </r>
  <r>
    <s v="7/1/2021"/>
    <x v="4"/>
    <s v="Delhi"/>
    <x v="3"/>
    <x v="5"/>
    <n v="104"/>
    <n v="600"/>
    <n v="400"/>
    <n v="62400"/>
    <n v="20800"/>
  </r>
  <r>
    <s v="7/27/2021"/>
    <x v="7"/>
    <s v="Maharashtra"/>
    <x v="0"/>
    <x v="5"/>
    <n v="57"/>
    <n v="600"/>
    <n v="400"/>
    <n v="34200"/>
    <n v="11400"/>
  </r>
  <r>
    <s v="10/5/2020"/>
    <x v="2"/>
    <s v="West Bengal"/>
    <x v="1"/>
    <x v="5"/>
    <n v="90"/>
    <n v="600"/>
    <n v="400"/>
    <n v="54000"/>
    <n v="18000"/>
  </r>
  <r>
    <s v="9/2/2020"/>
    <x v="5"/>
    <s v="Tamil Nadu"/>
    <x v="2"/>
    <x v="5"/>
    <n v="67"/>
    <n v="600"/>
    <n v="400"/>
    <n v="40200"/>
    <n v="13400"/>
  </r>
  <r>
    <s v="9/2/2021"/>
    <x v="0"/>
    <s v="Delhi"/>
    <x v="3"/>
    <x v="4"/>
    <n v="127"/>
    <n v="4000"/>
    <n v="3000"/>
    <n v="508000"/>
    <n v="127000"/>
  </r>
  <r>
    <s v="4/13/2021"/>
    <x v="5"/>
    <s v="Maharashtra"/>
    <x v="0"/>
    <x v="3"/>
    <n v="108"/>
    <n v="1000"/>
    <n v="700"/>
    <n v="108000"/>
    <n v="32400"/>
  </r>
  <r>
    <s v="5/6/2021"/>
    <x v="2"/>
    <s v="West Bengal"/>
    <x v="1"/>
    <x v="1"/>
    <n v="66"/>
    <n v="3500"/>
    <n v="2500"/>
    <n v="231000"/>
    <n v="66000"/>
  </r>
  <r>
    <s v="1/15/2021"/>
    <x v="0"/>
    <s v="Delhi"/>
    <x v="3"/>
    <x v="0"/>
    <n v="78"/>
    <n v="6000"/>
    <n v="4000"/>
    <n v="468000"/>
    <n v="156000"/>
  </r>
  <r>
    <s v="8/27/2020"/>
    <x v="7"/>
    <s v="Tamil Nadu"/>
    <x v="2"/>
    <x v="3"/>
    <n v="69"/>
    <n v="1000"/>
    <n v="700"/>
    <n v="69000"/>
    <n v="20700"/>
  </r>
  <r>
    <s v="2/5/2021"/>
    <x v="4"/>
    <s v="Maharashtra"/>
    <x v="0"/>
    <x v="2"/>
    <n v="59"/>
    <n v="1200"/>
    <n v="800"/>
    <n v="70800"/>
    <n v="23600"/>
  </r>
  <r>
    <s v="11/17/2021"/>
    <x v="9"/>
    <s v="Tamil Nadu"/>
    <x v="2"/>
    <x v="5"/>
    <n v="109"/>
    <n v="600"/>
    <n v="400"/>
    <n v="65400"/>
    <n v="21800"/>
  </r>
  <r>
    <s v="12/28/2020"/>
    <x v="8"/>
    <s v="West Bengal"/>
    <x v="1"/>
    <x v="4"/>
    <n v="61"/>
    <n v="4000"/>
    <n v="3000"/>
    <n v="244000"/>
    <n v="61000"/>
  </r>
  <r>
    <s v="10/27/2021"/>
    <x v="4"/>
    <s v="Delhi"/>
    <x v="3"/>
    <x v="5"/>
    <n v="130"/>
    <n v="600"/>
    <n v="400"/>
    <n v="78000"/>
    <n v="26000"/>
  </r>
  <r>
    <s v="11/2/2021"/>
    <x v="3"/>
    <s v="Tamil Nadu"/>
    <x v="2"/>
    <x v="1"/>
    <n v="60"/>
    <n v="3500"/>
    <n v="2500"/>
    <n v="210000"/>
    <n v="60000"/>
  </r>
  <r>
    <s v="5/7/2020"/>
    <x v="1"/>
    <s v="West Bengal"/>
    <x v="1"/>
    <x v="0"/>
    <n v="73"/>
    <n v="6000"/>
    <n v="4000"/>
    <n v="438000"/>
    <n v="14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3"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6">
  <location ref="G3:H4" firstHeaderRow="1" firstDataRow="1" firstDataCol="1"/>
  <pivotFields count="10">
    <pivotField showAll="0"/>
    <pivotField axis="axisRow" showAll="0">
      <items count="11">
        <item x="0"/>
        <item h="1" x="8"/>
        <item h="1" x="3"/>
        <item h="1" x="5"/>
        <item h="1" x="7"/>
        <item h="1" x="2"/>
        <item h="1" x="1"/>
        <item h="1" x="4"/>
        <item h="1" x="9"/>
        <item h="1" x="6"/>
        <item t="default"/>
      </items>
    </pivotField>
    <pivotField showAll="0"/>
    <pivotField showAll="0">
      <items count="5">
        <item h="1" x="1"/>
        <item x="3"/>
        <item x="2"/>
        <item x="0"/>
        <item t="default"/>
      </items>
    </pivotField>
    <pivotField showAll="0">
      <items count="8">
        <item h="1" x="2"/>
        <item h="1" x="1"/>
        <item h="1" x="5"/>
        <item h="1" x="3"/>
        <item x="6"/>
        <item h="1" x="4"/>
        <item h="1" x="0"/>
        <item t="default"/>
      </items>
    </pivotField>
    <pivotField showAll="0"/>
    <pivotField numFmtId="164" showAll="0"/>
    <pivotField numFmtId="164" showAll="0"/>
    <pivotField dataField="1" numFmtId="164" showAll="0"/>
    <pivotField numFmtId="164" showAll="0"/>
  </pivotFields>
  <rowFields count="1">
    <field x="1"/>
  </rowFields>
  <rowItems count="1">
    <i t="grand">
      <x/>
    </i>
  </rowItems>
  <colItems count="1">
    <i/>
  </colItems>
  <dataFields count="1">
    <dataField name="Sum of Total Sales" fld="8" baseField="0" baseItem="0" numFmtId="167"/>
  </dataFields>
  <formats count="3">
    <format dxfId="2">
      <pivotArea dataOnly="0" labelOnly="1" outline="0" axis="axisValues" fieldPosition="0"/>
    </format>
    <format dxfId="1">
      <pivotArea dataOnly="0" labelOnly="1" outline="0" axis="axisValues" fieldPosition="0"/>
    </format>
    <format dxfId="0">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2"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D3:E4" firstHeaderRow="1" firstDataRow="1" firstDataCol="1"/>
  <pivotFields count="10">
    <pivotField showAll="0"/>
    <pivotField showAll="0">
      <items count="11">
        <item x="0"/>
        <item h="1" x="8"/>
        <item h="1" x="3"/>
        <item h="1" x="5"/>
        <item h="1" x="7"/>
        <item h="1" x="2"/>
        <item h="1" x="1"/>
        <item h="1" x="4"/>
        <item h="1" x="9"/>
        <item h="1" x="6"/>
        <item t="default"/>
      </items>
    </pivotField>
    <pivotField showAll="0"/>
    <pivotField showAll="0">
      <items count="5">
        <item h="1" x="1"/>
        <item x="3"/>
        <item x="2"/>
        <item x="0"/>
        <item t="default"/>
      </items>
    </pivotField>
    <pivotField axis="axisRow" showAll="0">
      <items count="8">
        <item h="1" x="2"/>
        <item h="1" x="1"/>
        <item h="1" x="5"/>
        <item h="1" x="3"/>
        <item x="6"/>
        <item h="1" x="4"/>
        <item h="1" x="0"/>
        <item t="default"/>
      </items>
    </pivotField>
    <pivotField showAll="0"/>
    <pivotField numFmtId="164" showAll="0"/>
    <pivotField numFmtId="164" showAll="0"/>
    <pivotField dataField="1" numFmtId="164" showAll="0"/>
    <pivotField numFmtId="164" showAll="0"/>
  </pivotFields>
  <rowFields count="1">
    <field x="4"/>
  </rowFields>
  <rowItems count="1">
    <i t="grand">
      <x/>
    </i>
  </rowItems>
  <colItems count="1">
    <i/>
  </colItems>
  <dataFields count="1">
    <dataField name="Sum of Total Sales" fld="8" baseField="0" baseItem="0" numFmtId="167"/>
  </dataFields>
  <formats count="3">
    <format dxfId="5">
      <pivotArea dataOnly="0" labelOnly="1" outline="0" axis="axisValues" fieldPosition="0"/>
    </format>
    <format dxfId="4">
      <pivotArea outline="0" collapsedLevelsAreSubtotals="1" fieldPosition="0"/>
    </format>
    <format dxfId="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1" cacheId="0" applyNumberFormats="0" applyBorderFormats="0" applyFontFormats="0" applyPatternFormats="0" applyAlignmentFormats="0" applyWidthHeightFormats="1" dataCaption="Values" updatedVersion="8" minRefreshableVersion="3" showDrill="0" useAutoFormatting="1" itemPrintTitles="1" createdVersion="6" indent="0" showHeaders="0" outline="1" outlineData="1" multipleFieldFilters="0" chartFormat="4">
  <location ref="A3:B4" firstHeaderRow="1" firstDataRow="1" firstDataCol="1"/>
  <pivotFields count="10">
    <pivotField showAll="0"/>
    <pivotField showAll="0">
      <items count="11">
        <item x="0"/>
        <item h="1" x="8"/>
        <item h="1" x="3"/>
        <item h="1" x="5"/>
        <item h="1" x="7"/>
        <item h="1" x="2"/>
        <item h="1" x="1"/>
        <item h="1" x="4"/>
        <item h="1" x="9"/>
        <item h="1" x="6"/>
        <item t="default"/>
      </items>
    </pivotField>
    <pivotField showAll="0"/>
    <pivotField axis="axisRow" showAll="0">
      <items count="5">
        <item h="1" x="1"/>
        <item x="3"/>
        <item x="2"/>
        <item x="0"/>
        <item t="default"/>
      </items>
    </pivotField>
    <pivotField showAll="0">
      <items count="8">
        <item h="1" x="2"/>
        <item h="1" x="1"/>
        <item h="1" x="5"/>
        <item h="1" x="3"/>
        <item x="6"/>
        <item h="1" x="4"/>
        <item h="1" x="0"/>
        <item t="default"/>
      </items>
    </pivotField>
    <pivotField showAll="0"/>
    <pivotField numFmtId="164" showAll="0"/>
    <pivotField numFmtId="164" showAll="0"/>
    <pivotField dataField="1" numFmtId="164" showAll="0"/>
    <pivotField numFmtId="164" showAll="0"/>
  </pivotFields>
  <rowFields count="1">
    <field x="3"/>
  </rowFields>
  <rowItems count="1">
    <i t="grand">
      <x/>
    </i>
  </rowItems>
  <colItems count="1">
    <i/>
  </colItems>
  <dataFields count="1">
    <dataField name="Sum of Total Sales" fld="8" baseField="0" baseItem="0" numFmtId="167"/>
  </dataFields>
  <formats count="3">
    <format dxfId="8">
      <pivotArea dataOnly="0" labelOnly="1" outline="0" axis="axisValues" fieldPosition="0"/>
    </format>
    <format dxfId="7">
      <pivotArea outline="0" collapsedLevelsAreSubtotals="1" fieldPosition="0"/>
    </format>
    <format dxfId="6">
      <pivotArea outline="0" collapsedLevelsAreSubtotals="1" fieldPosition="0"/>
    </format>
  </format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3" count="1" selected="0">
            <x v="0"/>
          </reference>
        </references>
      </pivotArea>
    </chartFormat>
    <chartFormat chart="2" format="12">
      <pivotArea type="data" outline="0" fieldPosition="0">
        <references count="2">
          <reference field="4294967294" count="1" selected="0">
            <x v="0"/>
          </reference>
          <reference field="3" count="1" selected="0">
            <x v="1"/>
          </reference>
        </references>
      </pivotArea>
    </chartFormat>
    <chartFormat chart="2" format="13">
      <pivotArea type="data" outline="0" fieldPosition="0">
        <references count="2">
          <reference field="4294967294" count="1" selected="0">
            <x v="0"/>
          </reference>
          <reference field="3" count="1" selected="0">
            <x v="2"/>
          </reference>
        </references>
      </pivotArea>
    </chartFormat>
    <chartFormat chart="2" format="14">
      <pivotArea type="data" outline="0" fieldPosition="0">
        <references count="2">
          <reference field="4294967294" count="1" selected="0">
            <x v="0"/>
          </reference>
          <reference field="3" count="1" selected="0">
            <x v="3"/>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3" count="1" selected="0">
            <x v="0"/>
          </reference>
        </references>
      </pivotArea>
    </chartFormat>
    <chartFormat chart="3" format="7">
      <pivotArea type="data" outline="0" fieldPosition="0">
        <references count="2">
          <reference field="4294967294" count="1" selected="0">
            <x v="0"/>
          </reference>
          <reference field="3" count="1" selected="0">
            <x v="1"/>
          </reference>
        </references>
      </pivotArea>
    </chartFormat>
    <chartFormat chart="3" format="8">
      <pivotArea type="data" outline="0" fieldPosition="0">
        <references count="2">
          <reference field="4294967294" count="1" selected="0">
            <x v="0"/>
          </reference>
          <reference field="3" count="1" selected="0">
            <x v="2"/>
          </reference>
        </references>
      </pivotArea>
    </chartFormat>
    <chartFormat chart="3" format="9">
      <pivotArea type="data" outline="0" fieldPosition="0">
        <references count="2">
          <reference field="4294967294" count="1" selected="0">
            <x v="0"/>
          </reference>
          <reference field="3" count="1" selected="0">
            <x v="3"/>
          </reference>
        </references>
      </pivotArea>
    </chartFormat>
    <chartFormat chart="2" format="1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9">
  <location ref="J3:K4" firstHeaderRow="1" firstDataRow="1" firstDataCol="1"/>
  <pivotFields count="10">
    <pivotField showAll="0"/>
    <pivotField showAll="0">
      <items count="11">
        <item x="0"/>
        <item h="1" x="8"/>
        <item h="1" x="3"/>
        <item h="1" x="5"/>
        <item h="1" x="7"/>
        <item h="1" x="2"/>
        <item h="1" x="1"/>
        <item h="1" x="4"/>
        <item h="1" x="9"/>
        <item h="1" x="6"/>
        <item t="default"/>
      </items>
    </pivotField>
    <pivotField showAll="0"/>
    <pivotField showAll="0">
      <items count="5">
        <item h="1" x="1"/>
        <item x="3"/>
        <item x="2"/>
        <item x="0"/>
        <item t="default"/>
      </items>
    </pivotField>
    <pivotField axis="axisRow" showAll="0">
      <items count="8">
        <item h="1" x="2"/>
        <item h="1" x="1"/>
        <item h="1" x="5"/>
        <item h="1" x="3"/>
        <item x="6"/>
        <item h="1" x="4"/>
        <item h="1" x="0"/>
        <item t="default"/>
      </items>
    </pivotField>
    <pivotField dataField="1" showAll="0"/>
    <pivotField numFmtId="164" showAll="0"/>
    <pivotField numFmtId="164" showAll="0"/>
    <pivotField numFmtId="164" showAll="0"/>
    <pivotField numFmtId="164" showAll="0"/>
  </pivotFields>
  <rowFields count="1">
    <field x="4"/>
  </rowFields>
  <rowItems count="1">
    <i t="grand">
      <x/>
    </i>
  </rowItems>
  <colItems count="1">
    <i/>
  </colItems>
  <dataFields count="1">
    <dataField name="Sum of Units Sold" fld="5" baseField="0" baseItem="0"/>
  </dataFields>
  <formats count="3">
    <format dxfId="11">
      <pivotArea dataOnly="0" labelOnly="1" outline="0" axis="axisValues" fieldPosition="0"/>
    </format>
    <format dxfId="10">
      <pivotArea dataOnly="0" labelOnly="1" outline="0" axis="axisValues" fieldPosition="0"/>
    </format>
    <format dxfId="9">
      <pivotArea outline="0" collapsedLevelsAreSubtotals="1" fieldPosition="0"/>
    </format>
  </formats>
  <chartFormats count="17">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0"/>
          </reference>
        </references>
      </pivotArea>
    </chartFormat>
    <chartFormat chart="2" format="2">
      <pivotArea type="data" outline="0" fieldPosition="0">
        <references count="2">
          <reference field="4294967294" count="1" selected="0">
            <x v="0"/>
          </reference>
          <reference field="4" count="1" selected="0">
            <x v="1"/>
          </reference>
        </references>
      </pivotArea>
    </chartFormat>
    <chartFormat chart="2" format="3">
      <pivotArea type="data" outline="0" fieldPosition="0">
        <references count="2">
          <reference field="4294967294" count="1" selected="0">
            <x v="0"/>
          </reference>
          <reference field="4" count="1" selected="0">
            <x v="2"/>
          </reference>
        </references>
      </pivotArea>
    </chartFormat>
    <chartFormat chart="2" format="4">
      <pivotArea type="data" outline="0" fieldPosition="0">
        <references count="2">
          <reference field="4294967294" count="1" selected="0">
            <x v="0"/>
          </reference>
          <reference field="4" count="1" selected="0">
            <x v="3"/>
          </reference>
        </references>
      </pivotArea>
    </chartFormat>
    <chartFormat chart="2" format="5">
      <pivotArea type="data" outline="0" fieldPosition="0">
        <references count="2">
          <reference field="4294967294" count="1" selected="0">
            <x v="0"/>
          </reference>
          <reference field="4" count="1" selected="0">
            <x v="4"/>
          </reference>
        </references>
      </pivotArea>
    </chartFormat>
    <chartFormat chart="2" format="6">
      <pivotArea type="data" outline="0" fieldPosition="0">
        <references count="2">
          <reference field="4294967294" count="1" selected="0">
            <x v="0"/>
          </reference>
          <reference field="4" count="1" selected="0">
            <x v="5"/>
          </reference>
        </references>
      </pivotArea>
    </chartFormat>
    <chartFormat chart="2" format="7">
      <pivotArea type="data" outline="0" fieldPosition="0">
        <references count="2">
          <reference field="4294967294" count="1" selected="0">
            <x v="0"/>
          </reference>
          <reference field="4" count="1" selected="0">
            <x v="6"/>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4" count="1" selected="0">
            <x v="0"/>
          </reference>
        </references>
      </pivotArea>
    </chartFormat>
    <chartFormat chart="5" format="18">
      <pivotArea type="data" outline="0" fieldPosition="0">
        <references count="2">
          <reference field="4294967294" count="1" selected="0">
            <x v="0"/>
          </reference>
          <reference field="4" count="1" selected="0">
            <x v="1"/>
          </reference>
        </references>
      </pivotArea>
    </chartFormat>
    <chartFormat chart="5" format="19">
      <pivotArea type="data" outline="0" fieldPosition="0">
        <references count="2">
          <reference field="4294967294" count="1" selected="0">
            <x v="0"/>
          </reference>
          <reference field="4" count="1" selected="0">
            <x v="2"/>
          </reference>
        </references>
      </pivotArea>
    </chartFormat>
    <chartFormat chart="5" format="20">
      <pivotArea type="data" outline="0" fieldPosition="0">
        <references count="2">
          <reference field="4294967294" count="1" selected="0">
            <x v="0"/>
          </reference>
          <reference field="4" count="1" selected="0">
            <x v="3"/>
          </reference>
        </references>
      </pivotArea>
    </chartFormat>
    <chartFormat chart="5" format="21">
      <pivotArea type="data" outline="0" fieldPosition="0">
        <references count="2">
          <reference field="4294967294" count="1" selected="0">
            <x v="0"/>
          </reference>
          <reference field="4" count="1" selected="0">
            <x v="4"/>
          </reference>
        </references>
      </pivotArea>
    </chartFormat>
    <chartFormat chart="5" format="22">
      <pivotArea type="data" outline="0" fieldPosition="0">
        <references count="2">
          <reference field="4294967294" count="1" selected="0">
            <x v="0"/>
          </reference>
          <reference field="4" count="1" selected="0">
            <x v="5"/>
          </reference>
        </references>
      </pivotArea>
    </chartFormat>
    <chartFormat chart="5" format="23">
      <pivotArea type="data" outline="0" fieldPosition="0">
        <references count="2">
          <reference field="4294967294" count="1" selected="0">
            <x v="0"/>
          </reference>
          <reference field="4" count="1" selected="0">
            <x v="6"/>
          </reference>
        </references>
      </pivotArea>
    </chartFormat>
    <chartFormat chart="2"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00000000-0013-0000-FFFF-FFFF01000000}" sourceName="Sales Person">
  <pivotTables>
    <pivotTable tabId="2" name="PivotTable1"/>
    <pivotTable tabId="2" name="PivotTable2"/>
    <pivotTable tabId="2" name="PivotTable3"/>
    <pivotTable tabId="2" name="PivotTable4"/>
  </pivotTables>
  <data>
    <tabular pivotCacheId="1750661703">
      <items count="10">
        <i x="5"/>
        <i x="0" s="1" nd="1"/>
        <i x="8" nd="1"/>
        <i x="3" nd="1"/>
        <i x="7" nd="1"/>
        <i x="2" nd="1"/>
        <i x="1" nd="1"/>
        <i x="4" nd="1"/>
        <i x="9" nd="1"/>
        <i x="6"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2000000}" sourceName="Region">
  <pivotTables>
    <pivotTable tabId="2" name="PivotTable1"/>
    <pivotTable tabId="2" name="PivotTable2"/>
    <pivotTable tabId="2" name="PivotTable3"/>
    <pivotTable tabId="2" name="PivotTable4"/>
  </pivotTables>
  <data>
    <tabular pivotCacheId="1750661703">
      <items count="4">
        <i x="1" nd="1"/>
        <i x="3" s="1" nd="1"/>
        <i x="2" s="1" nd="1"/>
        <i x="0"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0000000-0013-0000-FFFF-FFFF03000000}" sourceName="Product">
  <pivotTables>
    <pivotTable tabId="2" name="PivotTable1"/>
    <pivotTable tabId="2" name="PivotTable2"/>
    <pivotTable tabId="2" name="PivotTable3"/>
    <pivotTable tabId="2" name="PivotTable4"/>
  </pivotTables>
  <data>
    <tabular pivotCacheId="1750661703">
      <items count="7">
        <i x="5"/>
        <i x="4"/>
        <i x="0"/>
        <i x="2" nd="1"/>
        <i x="1" nd="1"/>
        <i x="3" nd="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2" xr10:uid="{00000000-0014-0000-FFFF-FFFF01000000}" cache="Slicer_Sales_Person" caption="Sales Person" rowHeight="234950"/>
  <slicer name="Region 1" xr10:uid="{00000000-0014-0000-FFFF-FFFF02000000}" cache="Slicer_Region" caption="Region" columnCount="2" showCaption="0" rowHeight="234950"/>
  <slicer name="Product 1" xr10:uid="{00000000-0014-0000-FFFF-FFFF03000000}" cache="Slicer_Product"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00000000-0014-0000-FFFF-FFFF04000000}" cache="Slicer_Sales_Person" caption="Sales Person" rowHeight="234950"/>
  <slicer name="Region" xr10:uid="{00000000-0014-0000-FFFF-FFFF05000000}" cache="Slicer_Region" caption="Region" columnCount="2" showCaption="0" rowHeight="234950"/>
  <slicer name="Product" xr10:uid="{00000000-0014-0000-FFFF-FFFF06000000}" cache="Slicer_Product" caption="Produc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A1:J51" totalsRowShown="0" headerRowDxfId="25" dataDxfId="23" headerRowBorderDxfId="24" tableBorderDxfId="22">
  <autoFilter ref="A1:J51" xr:uid="{00000000-0009-0000-0100-000004000000}"/>
  <tableColumns count="10">
    <tableColumn id="1" xr3:uid="{00000000-0010-0000-0000-000001000000}" name="Date" dataDxfId="21"/>
    <tableColumn id="2" xr3:uid="{00000000-0010-0000-0000-000002000000}" name="Sales Person" dataDxfId="20"/>
    <tableColumn id="11" xr3:uid="{00000000-0010-0000-0000-00000B000000}" name="States" dataDxfId="19"/>
    <tableColumn id="3" xr3:uid="{00000000-0010-0000-0000-000003000000}" name="Region" dataDxfId="18"/>
    <tableColumn id="4" xr3:uid="{00000000-0010-0000-0000-000004000000}" name="Product" dataDxfId="17"/>
    <tableColumn id="5" xr3:uid="{00000000-0010-0000-0000-000005000000}" name="Units Sold" dataDxfId="16"/>
    <tableColumn id="6" xr3:uid="{00000000-0010-0000-0000-000006000000}" name="Unit Price" dataDxfId="15"/>
    <tableColumn id="7" xr3:uid="{00000000-0010-0000-0000-000007000000}" name="Cost of Goods" dataDxfId="14"/>
    <tableColumn id="8" xr3:uid="{00000000-0010-0000-0000-000008000000}" name="Total Sales" dataDxfId="13"/>
    <tableColumn id="9" xr3:uid="{00000000-0010-0000-0000-000009000000}" name="Profit" dataDxfId="12">
      <calculatedColumnFormula>I2-(H2*F2)</calculatedColumnFormula>
    </tableColumn>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2A4F1C"/>
      </a:dk2>
      <a:lt2>
        <a:srgbClr val="E3DED1"/>
      </a:lt2>
      <a:accent1>
        <a:srgbClr val="3F762A"/>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 /><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 /></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 /><Relationship Id="rId7" Type="http://schemas.microsoft.com/office/2007/relationships/slicer" Target="../slicers/slicer2.xml" /><Relationship Id="rId2" Type="http://schemas.openxmlformats.org/officeDocument/2006/relationships/pivotTable" Target="../pivotTables/pivotTable2.xml" /><Relationship Id="rId1" Type="http://schemas.openxmlformats.org/officeDocument/2006/relationships/pivotTable" Target="../pivotTables/pivotTable1.xml" /><Relationship Id="rId6" Type="http://schemas.openxmlformats.org/officeDocument/2006/relationships/drawing" Target="../drawings/drawing2.xml" /><Relationship Id="rId5" Type="http://schemas.openxmlformats.org/officeDocument/2006/relationships/printerSettings" Target="../printerSettings/printerSettings2.bin" /><Relationship Id="rId4" Type="http://schemas.openxmlformats.org/officeDocument/2006/relationships/pivotTable" Target="../pivotTables/pivotTable4.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13:R26"/>
  <sheetViews>
    <sheetView showGridLines="0" showRowColHeaders="0" tabSelected="1" zoomScale="66" workbookViewId="0">
      <selection activeCell="AC15" sqref="AC15"/>
    </sheetView>
  </sheetViews>
  <sheetFormatPr defaultRowHeight="15" x14ac:dyDescent="0.2"/>
  <sheetData>
    <row r="13" spans="4:4" x14ac:dyDescent="0.2">
      <c r="D13" s="13"/>
    </row>
    <row r="26" spans="18:18" x14ac:dyDescent="0.2">
      <c r="R26" s="12"/>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1"/>
  <sheetViews>
    <sheetView zoomScaleNormal="100" workbookViewId="0">
      <selection activeCell="A2" sqref="A2:J51"/>
    </sheetView>
  </sheetViews>
  <sheetFormatPr defaultColWidth="8.875" defaultRowHeight="15" x14ac:dyDescent="0.2"/>
  <cols>
    <col min="1" max="1" width="10.4921875" style="1" bestFit="1" customWidth="1"/>
    <col min="2" max="3" width="13.31640625" style="1" customWidth="1"/>
    <col min="4" max="4" width="8.609375" style="1" customWidth="1"/>
    <col min="5" max="5" width="11.56640625" style="1" bestFit="1" customWidth="1"/>
    <col min="6" max="6" width="11.296875" style="1" customWidth="1"/>
    <col min="7" max="7" width="11.02734375" style="2" customWidth="1"/>
    <col min="8" max="8" width="14.52734375" style="2" customWidth="1"/>
    <col min="9" max="9" width="12.9140625" style="2" bestFit="1" customWidth="1"/>
    <col min="10" max="10" width="11.8359375" style="2" bestFit="1" customWidth="1"/>
    <col min="11" max="11" width="8.875" style="1"/>
    <col min="12" max="12" width="15.33203125" style="2" bestFit="1" customWidth="1"/>
    <col min="13" max="16384" width="8.875" style="1"/>
  </cols>
  <sheetData>
    <row r="1" spans="1:12" x14ac:dyDescent="0.2">
      <c r="A1" s="3" t="s">
        <v>0</v>
      </c>
      <c r="B1" s="3" t="s">
        <v>1</v>
      </c>
      <c r="C1" s="3" t="s">
        <v>88</v>
      </c>
      <c r="D1" s="3" t="s">
        <v>2</v>
      </c>
      <c r="E1" s="3" t="s">
        <v>3</v>
      </c>
      <c r="F1" s="3" t="s">
        <v>4</v>
      </c>
      <c r="G1" s="4" t="s">
        <v>5</v>
      </c>
      <c r="H1" s="4" t="s">
        <v>6</v>
      </c>
      <c r="I1" s="5" t="s">
        <v>7</v>
      </c>
      <c r="J1" s="4" t="s">
        <v>76</v>
      </c>
      <c r="L1" s="6" t="s">
        <v>77</v>
      </c>
    </row>
    <row r="2" spans="1:12" x14ac:dyDescent="0.2">
      <c r="A2" s="1" t="s">
        <v>8</v>
      </c>
      <c r="B2" s="1" t="s">
        <v>55</v>
      </c>
      <c r="C2" t="s">
        <v>84</v>
      </c>
      <c r="D2" s="1" t="s">
        <v>65</v>
      </c>
      <c r="E2" s="1" t="s">
        <v>69</v>
      </c>
      <c r="F2" s="1">
        <v>84</v>
      </c>
      <c r="G2" s="1">
        <v>6000</v>
      </c>
      <c r="H2" s="2">
        <v>4000</v>
      </c>
      <c r="I2" s="2">
        <v>504000</v>
      </c>
      <c r="J2" s="2">
        <f>I2-(H2*F2)</f>
        <v>168000</v>
      </c>
      <c r="L2" s="1">
        <f>SUM(I2:I51)</f>
        <v>12944500</v>
      </c>
    </row>
    <row r="3" spans="1:12" x14ac:dyDescent="0.2">
      <c r="A3" s="1" t="s">
        <v>9</v>
      </c>
      <c r="B3" s="1" t="s">
        <v>56</v>
      </c>
      <c r="C3" t="s">
        <v>85</v>
      </c>
      <c r="D3" s="1" t="s">
        <v>66</v>
      </c>
      <c r="E3" s="1" t="s">
        <v>70</v>
      </c>
      <c r="F3" s="1">
        <v>128</v>
      </c>
      <c r="G3" s="1">
        <v>3500</v>
      </c>
      <c r="H3" s="2">
        <v>2500</v>
      </c>
      <c r="I3" s="2">
        <v>448000</v>
      </c>
      <c r="J3" s="2">
        <f t="shared" ref="J3:J51" si="0">I3-(H3*F3)</f>
        <v>128000</v>
      </c>
      <c r="L3" s="6" t="s">
        <v>83</v>
      </c>
    </row>
    <row r="4" spans="1:12" x14ac:dyDescent="0.2">
      <c r="A4" s="1" t="s">
        <v>10</v>
      </c>
      <c r="B4" s="1" t="s">
        <v>57</v>
      </c>
      <c r="C4" t="s">
        <v>86</v>
      </c>
      <c r="D4" s="1" t="s">
        <v>67</v>
      </c>
      <c r="E4" s="1" t="s">
        <v>71</v>
      </c>
      <c r="F4" s="1">
        <v>136</v>
      </c>
      <c r="G4" s="1">
        <v>1200</v>
      </c>
      <c r="H4" s="2">
        <v>800</v>
      </c>
      <c r="I4" s="2">
        <v>163200</v>
      </c>
      <c r="J4" s="2">
        <f t="shared" si="0"/>
        <v>54400</v>
      </c>
      <c r="L4" s="1">
        <f>SUM(F2:F51)</f>
        <v>4705</v>
      </c>
    </row>
    <row r="5" spans="1:12" x14ac:dyDescent="0.2">
      <c r="A5" s="1" t="s">
        <v>11</v>
      </c>
      <c r="B5" s="1" t="s">
        <v>58</v>
      </c>
      <c r="C5" t="s">
        <v>87</v>
      </c>
      <c r="D5" s="1" t="s">
        <v>68</v>
      </c>
      <c r="E5" s="1" t="s">
        <v>72</v>
      </c>
      <c r="F5" s="1">
        <v>91</v>
      </c>
      <c r="G5" s="1">
        <v>1000</v>
      </c>
      <c r="H5" s="2">
        <v>700</v>
      </c>
      <c r="I5" s="2">
        <v>91000</v>
      </c>
      <c r="J5" s="2">
        <f t="shared" si="0"/>
        <v>27300</v>
      </c>
      <c r="L5" s="6" t="s">
        <v>78</v>
      </c>
    </row>
    <row r="6" spans="1:12" x14ac:dyDescent="0.2">
      <c r="A6" s="1" t="s">
        <v>12</v>
      </c>
      <c r="B6" s="1" t="s">
        <v>59</v>
      </c>
      <c r="C6" t="s">
        <v>84</v>
      </c>
      <c r="D6" s="1" t="s">
        <v>65</v>
      </c>
      <c r="E6" s="1" t="s">
        <v>73</v>
      </c>
      <c r="F6" s="1">
        <v>110</v>
      </c>
      <c r="G6" s="1">
        <v>4000</v>
      </c>
      <c r="H6" s="2">
        <v>3000</v>
      </c>
      <c r="I6" s="2">
        <v>440000</v>
      </c>
      <c r="J6" s="2">
        <f t="shared" si="0"/>
        <v>110000</v>
      </c>
      <c r="L6" s="1">
        <f>SUM(J2:J51)</f>
        <v>3834400</v>
      </c>
    </row>
    <row r="7" spans="1:12" x14ac:dyDescent="0.2">
      <c r="A7" s="1" t="s">
        <v>13</v>
      </c>
      <c r="B7" s="1" t="s">
        <v>60</v>
      </c>
      <c r="C7" t="s">
        <v>85</v>
      </c>
      <c r="D7" s="1" t="s">
        <v>66</v>
      </c>
      <c r="E7" s="1" t="s">
        <v>71</v>
      </c>
      <c r="F7" s="1">
        <v>51</v>
      </c>
      <c r="G7" s="1">
        <v>1200</v>
      </c>
      <c r="H7" s="2">
        <v>800</v>
      </c>
      <c r="I7" s="2">
        <v>61200</v>
      </c>
      <c r="J7" s="2">
        <f t="shared" si="0"/>
        <v>20400</v>
      </c>
      <c r="L7" s="6" t="s">
        <v>79</v>
      </c>
    </row>
    <row r="8" spans="1:12" x14ac:dyDescent="0.2">
      <c r="A8" s="1" t="s">
        <v>14</v>
      </c>
      <c r="B8" s="1" t="s">
        <v>61</v>
      </c>
      <c r="C8" t="s">
        <v>87</v>
      </c>
      <c r="D8" s="1" t="s">
        <v>68</v>
      </c>
      <c r="E8" s="1" t="s">
        <v>72</v>
      </c>
      <c r="F8" s="1">
        <v>78</v>
      </c>
      <c r="G8" s="1">
        <v>1000</v>
      </c>
      <c r="H8" s="2">
        <v>700</v>
      </c>
      <c r="I8" s="2">
        <v>78000</v>
      </c>
      <c r="J8" s="2">
        <f t="shared" si="0"/>
        <v>23400</v>
      </c>
      <c r="L8" s="1">
        <f>AVERAGE(I2:I51)</f>
        <v>258890</v>
      </c>
    </row>
    <row r="9" spans="1:12" x14ac:dyDescent="0.2">
      <c r="A9" s="1" t="s">
        <v>15</v>
      </c>
      <c r="B9" s="1" t="s">
        <v>62</v>
      </c>
      <c r="C9" t="s">
        <v>86</v>
      </c>
      <c r="D9" s="1" t="s">
        <v>67</v>
      </c>
      <c r="E9" s="1" t="s">
        <v>69</v>
      </c>
      <c r="F9" s="1">
        <v>146</v>
      </c>
      <c r="G9" s="1">
        <v>6000</v>
      </c>
      <c r="H9" s="2">
        <v>4000</v>
      </c>
      <c r="I9" s="2">
        <v>876000</v>
      </c>
      <c r="J9" s="2">
        <f t="shared" si="0"/>
        <v>292000</v>
      </c>
    </row>
    <row r="10" spans="1:12" x14ac:dyDescent="0.2">
      <c r="A10" s="1" t="s">
        <v>16</v>
      </c>
      <c r="B10" s="1" t="s">
        <v>63</v>
      </c>
      <c r="C10" t="s">
        <v>84</v>
      </c>
      <c r="D10" s="1" t="s">
        <v>65</v>
      </c>
      <c r="E10" s="1" t="s">
        <v>74</v>
      </c>
      <c r="F10" s="1">
        <v>101</v>
      </c>
      <c r="G10" s="1">
        <v>600</v>
      </c>
      <c r="H10" s="2">
        <v>400</v>
      </c>
      <c r="I10" s="2">
        <v>60600</v>
      </c>
      <c r="J10" s="2">
        <f t="shared" si="0"/>
        <v>20200</v>
      </c>
    </row>
    <row r="11" spans="1:12" x14ac:dyDescent="0.2">
      <c r="A11" s="1" t="s">
        <v>17</v>
      </c>
      <c r="B11" s="1" t="s">
        <v>64</v>
      </c>
      <c r="C11" t="s">
        <v>86</v>
      </c>
      <c r="D11" s="1" t="s">
        <v>67</v>
      </c>
      <c r="E11" s="1" t="s">
        <v>69</v>
      </c>
      <c r="F11" s="1">
        <v>52</v>
      </c>
      <c r="G11" s="1">
        <v>6000</v>
      </c>
      <c r="H11" s="2">
        <v>4000</v>
      </c>
      <c r="I11" s="2">
        <v>312000</v>
      </c>
      <c r="J11" s="2">
        <f t="shared" si="0"/>
        <v>104000</v>
      </c>
    </row>
    <row r="12" spans="1:12" x14ac:dyDescent="0.2">
      <c r="A12" s="1" t="s">
        <v>18</v>
      </c>
      <c r="B12" s="1" t="s">
        <v>64</v>
      </c>
      <c r="C12" t="s">
        <v>85</v>
      </c>
      <c r="D12" s="1" t="s">
        <v>66</v>
      </c>
      <c r="E12" s="1" t="s">
        <v>71</v>
      </c>
      <c r="F12" s="1">
        <v>55</v>
      </c>
      <c r="G12" s="1">
        <v>1200</v>
      </c>
      <c r="H12" s="2">
        <v>800</v>
      </c>
      <c r="I12" s="2">
        <v>66000</v>
      </c>
      <c r="J12" s="2">
        <f t="shared" si="0"/>
        <v>22000</v>
      </c>
    </row>
    <row r="13" spans="1:12" x14ac:dyDescent="0.2">
      <c r="A13" s="1" t="s">
        <v>19</v>
      </c>
      <c r="B13" s="1" t="s">
        <v>64</v>
      </c>
      <c r="C13" t="s">
        <v>86</v>
      </c>
      <c r="D13" s="1" t="s">
        <v>67</v>
      </c>
      <c r="E13" s="1" t="s">
        <v>72</v>
      </c>
      <c r="F13" s="1">
        <v>137</v>
      </c>
      <c r="G13" s="1">
        <v>1000</v>
      </c>
      <c r="H13" s="2">
        <v>700</v>
      </c>
      <c r="I13" s="2">
        <v>137000</v>
      </c>
      <c r="J13" s="2">
        <f t="shared" si="0"/>
        <v>41100</v>
      </c>
    </row>
    <row r="14" spans="1:12" x14ac:dyDescent="0.2">
      <c r="A14" s="1" t="s">
        <v>20</v>
      </c>
      <c r="B14" s="1" t="s">
        <v>62</v>
      </c>
      <c r="C14" t="s">
        <v>86</v>
      </c>
      <c r="D14" s="1" t="s">
        <v>67</v>
      </c>
      <c r="E14" s="1" t="s">
        <v>70</v>
      </c>
      <c r="F14" s="1">
        <v>96</v>
      </c>
      <c r="G14" s="1">
        <v>3500</v>
      </c>
      <c r="H14" s="2">
        <v>2500</v>
      </c>
      <c r="I14" s="2">
        <v>336000</v>
      </c>
      <c r="J14" s="2">
        <f t="shared" si="0"/>
        <v>96000</v>
      </c>
    </row>
    <row r="15" spans="1:12" x14ac:dyDescent="0.2">
      <c r="A15" s="1" t="s">
        <v>21</v>
      </c>
      <c r="B15" s="1" t="s">
        <v>63</v>
      </c>
      <c r="C15" t="s">
        <v>85</v>
      </c>
      <c r="D15" s="1" t="s">
        <v>66</v>
      </c>
      <c r="E15" s="1" t="s">
        <v>73</v>
      </c>
      <c r="F15" s="1">
        <v>52</v>
      </c>
      <c r="G15" s="1">
        <v>4000</v>
      </c>
      <c r="H15" s="2">
        <v>3000</v>
      </c>
      <c r="I15" s="2">
        <v>208000</v>
      </c>
      <c r="J15" s="2">
        <f t="shared" si="0"/>
        <v>52000</v>
      </c>
    </row>
    <row r="16" spans="1:12" x14ac:dyDescent="0.2">
      <c r="A16" s="1" t="s">
        <v>22</v>
      </c>
      <c r="B16" s="1" t="s">
        <v>58</v>
      </c>
      <c r="C16" t="s">
        <v>84</v>
      </c>
      <c r="D16" s="1" t="s">
        <v>65</v>
      </c>
      <c r="E16" s="1" t="s">
        <v>70</v>
      </c>
      <c r="F16" s="1">
        <v>76</v>
      </c>
      <c r="G16" s="1">
        <v>3500</v>
      </c>
      <c r="H16" s="2">
        <v>2500</v>
      </c>
      <c r="I16" s="2">
        <v>266000</v>
      </c>
      <c r="J16" s="2">
        <f t="shared" si="0"/>
        <v>76000</v>
      </c>
    </row>
    <row r="17" spans="1:10" x14ac:dyDescent="0.2">
      <c r="A17" s="1" t="s">
        <v>23</v>
      </c>
      <c r="B17" s="1" t="s">
        <v>56</v>
      </c>
      <c r="C17" t="s">
        <v>87</v>
      </c>
      <c r="D17" s="1" t="s">
        <v>68</v>
      </c>
      <c r="E17" s="1" t="s">
        <v>73</v>
      </c>
      <c r="F17" s="1">
        <v>145</v>
      </c>
      <c r="G17" s="1">
        <v>4000</v>
      </c>
      <c r="H17" s="2">
        <v>3000</v>
      </c>
      <c r="I17" s="2">
        <v>580000</v>
      </c>
      <c r="J17" s="2">
        <f t="shared" si="0"/>
        <v>145000</v>
      </c>
    </row>
    <row r="18" spans="1:10" x14ac:dyDescent="0.2">
      <c r="A18" s="1" t="s">
        <v>24</v>
      </c>
      <c r="B18" s="1" t="s">
        <v>55</v>
      </c>
      <c r="C18" t="s">
        <v>86</v>
      </c>
      <c r="D18" s="1" t="s">
        <v>67</v>
      </c>
      <c r="E18" s="1" t="s">
        <v>74</v>
      </c>
      <c r="F18" s="1">
        <v>83</v>
      </c>
      <c r="G18" s="1">
        <v>600</v>
      </c>
      <c r="H18" s="2">
        <v>400</v>
      </c>
      <c r="I18" s="2">
        <v>49800</v>
      </c>
      <c r="J18" s="2">
        <f t="shared" si="0"/>
        <v>16600</v>
      </c>
    </row>
    <row r="19" spans="1:10" x14ac:dyDescent="0.2">
      <c r="A19" s="1" t="s">
        <v>25</v>
      </c>
      <c r="B19" s="1" t="s">
        <v>59</v>
      </c>
      <c r="C19" t="s">
        <v>86</v>
      </c>
      <c r="D19" s="1" t="s">
        <v>67</v>
      </c>
      <c r="E19" s="1" t="s">
        <v>72</v>
      </c>
      <c r="F19" s="1">
        <v>91</v>
      </c>
      <c r="G19" s="1">
        <v>1000</v>
      </c>
      <c r="H19" s="2">
        <v>700</v>
      </c>
      <c r="I19" s="2">
        <v>91000</v>
      </c>
      <c r="J19" s="2">
        <f t="shared" si="0"/>
        <v>27300</v>
      </c>
    </row>
    <row r="20" spans="1:10" x14ac:dyDescent="0.2">
      <c r="A20" s="1" t="s">
        <v>26</v>
      </c>
      <c r="B20" s="1" t="s">
        <v>60</v>
      </c>
      <c r="C20" t="s">
        <v>84</v>
      </c>
      <c r="D20" s="1" t="s">
        <v>65</v>
      </c>
      <c r="E20" s="1" t="s">
        <v>75</v>
      </c>
      <c r="F20" s="1">
        <v>108</v>
      </c>
      <c r="G20" s="1">
        <v>10000</v>
      </c>
      <c r="H20" s="2">
        <v>7000</v>
      </c>
      <c r="I20" s="2">
        <v>1080000</v>
      </c>
      <c r="J20" s="2">
        <f t="shared" si="0"/>
        <v>324000</v>
      </c>
    </row>
    <row r="21" spans="1:10" x14ac:dyDescent="0.2">
      <c r="A21" s="1" t="s">
        <v>27</v>
      </c>
      <c r="B21" s="1" t="s">
        <v>57</v>
      </c>
      <c r="C21" t="s">
        <v>87</v>
      </c>
      <c r="D21" s="1" t="s">
        <v>68</v>
      </c>
      <c r="E21" s="1" t="s">
        <v>73</v>
      </c>
      <c r="F21" s="1">
        <v>144</v>
      </c>
      <c r="G21" s="1">
        <v>4000</v>
      </c>
      <c r="H21" s="2">
        <v>3000</v>
      </c>
      <c r="I21" s="2">
        <v>576000</v>
      </c>
      <c r="J21" s="2">
        <f t="shared" si="0"/>
        <v>144000</v>
      </c>
    </row>
    <row r="22" spans="1:10" x14ac:dyDescent="0.2">
      <c r="A22" s="1" t="s">
        <v>28</v>
      </c>
      <c r="B22" s="1" t="s">
        <v>59</v>
      </c>
      <c r="C22" t="s">
        <v>86</v>
      </c>
      <c r="D22" s="1" t="s">
        <v>67</v>
      </c>
      <c r="E22" s="1" t="s">
        <v>74</v>
      </c>
      <c r="F22" s="1">
        <v>92</v>
      </c>
      <c r="G22" s="1">
        <v>600</v>
      </c>
      <c r="H22" s="2">
        <v>400</v>
      </c>
      <c r="I22" s="2">
        <v>55200</v>
      </c>
      <c r="J22" s="2">
        <f t="shared" si="0"/>
        <v>18400</v>
      </c>
    </row>
    <row r="23" spans="1:10" x14ac:dyDescent="0.2">
      <c r="A23" s="1" t="s">
        <v>29</v>
      </c>
      <c r="B23" s="1" t="s">
        <v>62</v>
      </c>
      <c r="C23" t="s">
        <v>84</v>
      </c>
      <c r="D23" s="1" t="s">
        <v>65</v>
      </c>
      <c r="E23" s="1" t="s">
        <v>69</v>
      </c>
      <c r="F23" s="1">
        <v>71</v>
      </c>
      <c r="G23" s="1">
        <v>6000</v>
      </c>
      <c r="H23" s="2">
        <v>4000</v>
      </c>
      <c r="I23" s="2">
        <v>426000</v>
      </c>
      <c r="J23" s="2">
        <f t="shared" si="0"/>
        <v>142000</v>
      </c>
    </row>
    <row r="24" spans="1:10" x14ac:dyDescent="0.2">
      <c r="A24" s="1" t="s">
        <v>30</v>
      </c>
      <c r="B24" s="1" t="s">
        <v>55</v>
      </c>
      <c r="C24" t="s">
        <v>85</v>
      </c>
      <c r="D24" s="1" t="s">
        <v>66</v>
      </c>
      <c r="E24" s="1" t="s">
        <v>74</v>
      </c>
      <c r="F24" s="1">
        <v>103</v>
      </c>
      <c r="G24" s="1">
        <v>600</v>
      </c>
      <c r="H24" s="2">
        <v>400</v>
      </c>
      <c r="I24" s="2">
        <v>61800</v>
      </c>
      <c r="J24" s="2">
        <f t="shared" si="0"/>
        <v>20600</v>
      </c>
    </row>
    <row r="25" spans="1:10" x14ac:dyDescent="0.2">
      <c r="A25" s="1" t="s">
        <v>31</v>
      </c>
      <c r="B25" s="1" t="s">
        <v>64</v>
      </c>
      <c r="C25" t="s">
        <v>87</v>
      </c>
      <c r="D25" s="1" t="s">
        <v>68</v>
      </c>
      <c r="E25" s="1" t="s">
        <v>72</v>
      </c>
      <c r="F25" s="1">
        <v>55</v>
      </c>
      <c r="G25" s="1">
        <v>1000</v>
      </c>
      <c r="H25" s="2">
        <v>700</v>
      </c>
      <c r="I25" s="2">
        <v>55000</v>
      </c>
      <c r="J25" s="2">
        <f t="shared" si="0"/>
        <v>16500</v>
      </c>
    </row>
    <row r="26" spans="1:10" x14ac:dyDescent="0.2">
      <c r="A26" s="1" t="s">
        <v>32</v>
      </c>
      <c r="B26" s="1" t="s">
        <v>60</v>
      </c>
      <c r="C26" t="s">
        <v>85</v>
      </c>
      <c r="D26" s="1" t="s">
        <v>66</v>
      </c>
      <c r="E26" s="1" t="s">
        <v>73</v>
      </c>
      <c r="F26" s="1">
        <v>93</v>
      </c>
      <c r="G26" s="1">
        <v>4000</v>
      </c>
      <c r="H26" s="2">
        <v>3000</v>
      </c>
      <c r="I26" s="2">
        <v>372000</v>
      </c>
      <c r="J26" s="2">
        <f t="shared" si="0"/>
        <v>93000</v>
      </c>
    </row>
    <row r="27" spans="1:10" x14ac:dyDescent="0.2">
      <c r="A27" s="1" t="s">
        <v>33</v>
      </c>
      <c r="B27" s="1" t="s">
        <v>57</v>
      </c>
      <c r="C27" t="s">
        <v>86</v>
      </c>
      <c r="D27" s="1" t="s">
        <v>67</v>
      </c>
      <c r="E27" s="1" t="s">
        <v>74</v>
      </c>
      <c r="F27" s="1">
        <v>143</v>
      </c>
      <c r="G27" s="1">
        <v>600</v>
      </c>
      <c r="H27" s="2">
        <v>400</v>
      </c>
      <c r="I27" s="2">
        <v>85800</v>
      </c>
      <c r="J27" s="2">
        <f t="shared" si="0"/>
        <v>28600</v>
      </c>
    </row>
    <row r="28" spans="1:10" x14ac:dyDescent="0.2">
      <c r="A28" s="1" t="s">
        <v>34</v>
      </c>
      <c r="B28" s="1" t="s">
        <v>61</v>
      </c>
      <c r="C28" t="s">
        <v>84</v>
      </c>
      <c r="D28" s="1" t="s">
        <v>65</v>
      </c>
      <c r="E28" s="1" t="s">
        <v>70</v>
      </c>
      <c r="F28" s="1">
        <v>143</v>
      </c>
      <c r="G28" s="1">
        <v>3500</v>
      </c>
      <c r="H28" s="2">
        <v>2500</v>
      </c>
      <c r="I28" s="2">
        <v>500500</v>
      </c>
      <c r="J28" s="2">
        <f t="shared" si="0"/>
        <v>143000</v>
      </c>
    </row>
    <row r="29" spans="1:10" x14ac:dyDescent="0.2">
      <c r="A29" s="1" t="s">
        <v>35</v>
      </c>
      <c r="B29" s="1" t="s">
        <v>63</v>
      </c>
      <c r="C29" t="s">
        <v>87</v>
      </c>
      <c r="D29" s="1" t="s">
        <v>68</v>
      </c>
      <c r="E29" s="1" t="s">
        <v>74</v>
      </c>
      <c r="F29" s="1">
        <v>99</v>
      </c>
      <c r="G29" s="1">
        <v>600</v>
      </c>
      <c r="H29" s="2">
        <v>400</v>
      </c>
      <c r="I29" s="2">
        <v>59400</v>
      </c>
      <c r="J29" s="2">
        <f t="shared" si="0"/>
        <v>19800</v>
      </c>
    </row>
    <row r="30" spans="1:10" x14ac:dyDescent="0.2">
      <c r="A30" s="1" t="s">
        <v>36</v>
      </c>
      <c r="B30" s="1" t="s">
        <v>58</v>
      </c>
      <c r="C30" t="s">
        <v>84</v>
      </c>
      <c r="D30" s="1" t="s">
        <v>65</v>
      </c>
      <c r="E30" s="1" t="s">
        <v>72</v>
      </c>
      <c r="F30" s="1">
        <v>120</v>
      </c>
      <c r="G30" s="1">
        <v>1000</v>
      </c>
      <c r="H30" s="2">
        <v>700</v>
      </c>
      <c r="I30" s="2">
        <v>120000</v>
      </c>
      <c r="J30" s="2">
        <f t="shared" si="0"/>
        <v>36000</v>
      </c>
    </row>
    <row r="31" spans="1:10" x14ac:dyDescent="0.2">
      <c r="A31" s="1" t="s">
        <v>37</v>
      </c>
      <c r="B31" s="1" t="s">
        <v>56</v>
      </c>
      <c r="C31" t="s">
        <v>86</v>
      </c>
      <c r="D31" s="1" t="s">
        <v>67</v>
      </c>
      <c r="E31" s="1" t="s">
        <v>70</v>
      </c>
      <c r="F31" s="1">
        <v>66</v>
      </c>
      <c r="G31" s="1">
        <v>3500</v>
      </c>
      <c r="H31" s="2">
        <v>2500</v>
      </c>
      <c r="I31" s="2">
        <v>231000</v>
      </c>
      <c r="J31" s="2">
        <f t="shared" si="0"/>
        <v>66000</v>
      </c>
    </row>
    <row r="32" spans="1:10" x14ac:dyDescent="0.2">
      <c r="A32" s="1" t="s">
        <v>38</v>
      </c>
      <c r="B32" s="1" t="s">
        <v>63</v>
      </c>
      <c r="C32" t="s">
        <v>87</v>
      </c>
      <c r="D32" s="1" t="s">
        <v>68</v>
      </c>
      <c r="E32" s="1" t="s">
        <v>71</v>
      </c>
      <c r="F32" s="1">
        <v>88</v>
      </c>
      <c r="G32" s="1">
        <v>1200</v>
      </c>
      <c r="H32" s="2">
        <v>800</v>
      </c>
      <c r="I32" s="2">
        <v>105600</v>
      </c>
      <c r="J32" s="2">
        <f t="shared" si="0"/>
        <v>35200</v>
      </c>
    </row>
    <row r="33" spans="1:10" x14ac:dyDescent="0.2">
      <c r="A33" s="1" t="s">
        <v>39</v>
      </c>
      <c r="B33" s="1" t="s">
        <v>58</v>
      </c>
      <c r="C33" t="s">
        <v>85</v>
      </c>
      <c r="D33" s="1" t="s">
        <v>66</v>
      </c>
      <c r="E33" s="1" t="s">
        <v>75</v>
      </c>
      <c r="F33" s="1">
        <v>127</v>
      </c>
      <c r="G33" s="1">
        <v>10000</v>
      </c>
      <c r="H33" s="2">
        <v>7000</v>
      </c>
      <c r="I33" s="2">
        <v>1270000</v>
      </c>
      <c r="J33" s="2">
        <f t="shared" si="0"/>
        <v>381000</v>
      </c>
    </row>
    <row r="34" spans="1:10" x14ac:dyDescent="0.2">
      <c r="A34" s="1" t="s">
        <v>40</v>
      </c>
      <c r="B34" s="1" t="s">
        <v>59</v>
      </c>
      <c r="C34" t="s">
        <v>84</v>
      </c>
      <c r="D34" s="1" t="s">
        <v>65</v>
      </c>
      <c r="E34" s="1" t="s">
        <v>73</v>
      </c>
      <c r="F34" s="1">
        <v>67</v>
      </c>
      <c r="G34" s="1">
        <v>4000</v>
      </c>
      <c r="H34" s="2">
        <v>3000</v>
      </c>
      <c r="I34" s="2">
        <v>268000</v>
      </c>
      <c r="J34" s="2">
        <f t="shared" si="0"/>
        <v>67000</v>
      </c>
    </row>
    <row r="35" spans="1:10" x14ac:dyDescent="0.2">
      <c r="A35" s="1" t="s">
        <v>41</v>
      </c>
      <c r="B35" s="1" t="s">
        <v>56</v>
      </c>
      <c r="C35" t="s">
        <v>85</v>
      </c>
      <c r="D35" s="1" t="s">
        <v>66</v>
      </c>
      <c r="E35" s="1" t="s">
        <v>71</v>
      </c>
      <c r="F35" s="1">
        <v>67</v>
      </c>
      <c r="G35" s="1">
        <v>1200</v>
      </c>
      <c r="H35" s="2">
        <v>800</v>
      </c>
      <c r="I35" s="2">
        <v>80400</v>
      </c>
      <c r="J35" s="2">
        <f t="shared" si="0"/>
        <v>26800</v>
      </c>
    </row>
    <row r="36" spans="1:10" x14ac:dyDescent="0.2">
      <c r="A36" s="1" t="s">
        <v>42</v>
      </c>
      <c r="B36" s="1" t="s">
        <v>64</v>
      </c>
      <c r="C36" t="s">
        <v>86</v>
      </c>
      <c r="D36" s="1" t="s">
        <v>67</v>
      </c>
      <c r="E36" s="1" t="s">
        <v>72</v>
      </c>
      <c r="F36" s="1">
        <v>149</v>
      </c>
      <c r="G36" s="1">
        <v>1000</v>
      </c>
      <c r="H36" s="2">
        <v>700</v>
      </c>
      <c r="I36" s="2">
        <v>149000</v>
      </c>
      <c r="J36" s="2">
        <f t="shared" si="0"/>
        <v>44700</v>
      </c>
    </row>
    <row r="37" spans="1:10" x14ac:dyDescent="0.2">
      <c r="A37" s="1" t="s">
        <v>43</v>
      </c>
      <c r="B37" s="1" t="s">
        <v>59</v>
      </c>
      <c r="C37" t="s">
        <v>87</v>
      </c>
      <c r="D37" s="1" t="s">
        <v>68</v>
      </c>
      <c r="E37" s="1" t="s">
        <v>74</v>
      </c>
      <c r="F37" s="1">
        <v>104</v>
      </c>
      <c r="G37" s="1">
        <v>600</v>
      </c>
      <c r="H37" s="2">
        <v>400</v>
      </c>
      <c r="I37" s="2">
        <v>62400</v>
      </c>
      <c r="J37" s="2">
        <f t="shared" si="0"/>
        <v>20800</v>
      </c>
    </row>
    <row r="38" spans="1:10" x14ac:dyDescent="0.2">
      <c r="A38" s="1" t="s">
        <v>20</v>
      </c>
      <c r="B38" s="1" t="s">
        <v>62</v>
      </c>
      <c r="C38" t="s">
        <v>84</v>
      </c>
      <c r="D38" s="1" t="s">
        <v>65</v>
      </c>
      <c r="E38" s="1" t="s">
        <v>74</v>
      </c>
      <c r="F38" s="1">
        <v>57</v>
      </c>
      <c r="G38" s="1">
        <v>600</v>
      </c>
      <c r="H38" s="2">
        <v>400</v>
      </c>
      <c r="I38" s="2">
        <v>34200</v>
      </c>
      <c r="J38" s="2">
        <f t="shared" si="0"/>
        <v>11400</v>
      </c>
    </row>
    <row r="39" spans="1:10" x14ac:dyDescent="0.2">
      <c r="A39" s="1" t="s">
        <v>44</v>
      </c>
      <c r="B39" s="1" t="s">
        <v>57</v>
      </c>
      <c r="C39" t="s">
        <v>85</v>
      </c>
      <c r="D39" s="1" t="s">
        <v>66</v>
      </c>
      <c r="E39" s="1" t="s">
        <v>74</v>
      </c>
      <c r="F39" s="1">
        <v>90</v>
      </c>
      <c r="G39" s="1">
        <v>600</v>
      </c>
      <c r="H39" s="2">
        <v>400</v>
      </c>
      <c r="I39" s="2">
        <v>54000</v>
      </c>
      <c r="J39" s="2">
        <f t="shared" si="0"/>
        <v>18000</v>
      </c>
    </row>
    <row r="40" spans="1:10" x14ac:dyDescent="0.2">
      <c r="A40" s="1" t="s">
        <v>45</v>
      </c>
      <c r="B40" s="1" t="s">
        <v>60</v>
      </c>
      <c r="C40" t="s">
        <v>86</v>
      </c>
      <c r="D40" s="1" t="s">
        <v>67</v>
      </c>
      <c r="E40" s="1" t="s">
        <v>74</v>
      </c>
      <c r="F40" s="1">
        <v>67</v>
      </c>
      <c r="G40" s="1">
        <v>600</v>
      </c>
      <c r="H40" s="2">
        <v>400</v>
      </c>
      <c r="I40" s="2">
        <v>40200</v>
      </c>
      <c r="J40" s="2">
        <f t="shared" si="0"/>
        <v>13400</v>
      </c>
    </row>
    <row r="41" spans="1:10" x14ac:dyDescent="0.2">
      <c r="A41" s="1" t="s">
        <v>46</v>
      </c>
      <c r="B41" s="1" t="s">
        <v>55</v>
      </c>
      <c r="C41" t="s">
        <v>87</v>
      </c>
      <c r="D41" s="1" t="s">
        <v>68</v>
      </c>
      <c r="E41" s="1" t="s">
        <v>73</v>
      </c>
      <c r="F41" s="1">
        <v>127</v>
      </c>
      <c r="G41" s="1">
        <v>4000</v>
      </c>
      <c r="H41" s="2">
        <v>3000</v>
      </c>
      <c r="I41" s="2">
        <v>508000</v>
      </c>
      <c r="J41" s="2">
        <f t="shared" si="0"/>
        <v>127000</v>
      </c>
    </row>
    <row r="42" spans="1:10" x14ac:dyDescent="0.2">
      <c r="A42" s="1" t="s">
        <v>47</v>
      </c>
      <c r="B42" s="1" t="s">
        <v>60</v>
      </c>
      <c r="C42" t="s">
        <v>84</v>
      </c>
      <c r="D42" s="1" t="s">
        <v>65</v>
      </c>
      <c r="E42" s="1" t="s">
        <v>72</v>
      </c>
      <c r="F42" s="1">
        <v>108</v>
      </c>
      <c r="G42" s="1">
        <v>1000</v>
      </c>
      <c r="H42" s="2">
        <v>700</v>
      </c>
      <c r="I42" s="2">
        <v>108000</v>
      </c>
      <c r="J42" s="2">
        <f t="shared" si="0"/>
        <v>32400</v>
      </c>
    </row>
    <row r="43" spans="1:10" x14ac:dyDescent="0.2">
      <c r="A43" s="1" t="s">
        <v>48</v>
      </c>
      <c r="B43" s="1" t="s">
        <v>57</v>
      </c>
      <c r="C43" t="s">
        <v>85</v>
      </c>
      <c r="D43" s="1" t="s">
        <v>66</v>
      </c>
      <c r="E43" s="1" t="s">
        <v>70</v>
      </c>
      <c r="F43" s="1">
        <v>66</v>
      </c>
      <c r="G43" s="1">
        <v>3500</v>
      </c>
      <c r="H43" s="2">
        <v>2500</v>
      </c>
      <c r="I43" s="2">
        <v>231000</v>
      </c>
      <c r="J43" s="2">
        <f t="shared" si="0"/>
        <v>66000</v>
      </c>
    </row>
    <row r="44" spans="1:10" x14ac:dyDescent="0.2">
      <c r="A44" s="1" t="s">
        <v>49</v>
      </c>
      <c r="B44" s="1" t="s">
        <v>55</v>
      </c>
      <c r="C44" t="s">
        <v>87</v>
      </c>
      <c r="D44" s="1" t="s">
        <v>68</v>
      </c>
      <c r="E44" s="1" t="s">
        <v>69</v>
      </c>
      <c r="F44" s="1">
        <v>78</v>
      </c>
      <c r="G44" s="1">
        <v>6000</v>
      </c>
      <c r="H44" s="2">
        <v>4000</v>
      </c>
      <c r="I44" s="2">
        <v>468000</v>
      </c>
      <c r="J44" s="2">
        <f t="shared" si="0"/>
        <v>156000</v>
      </c>
    </row>
    <row r="45" spans="1:10" x14ac:dyDescent="0.2">
      <c r="A45" s="1" t="s">
        <v>26</v>
      </c>
      <c r="B45" s="1" t="s">
        <v>62</v>
      </c>
      <c r="C45" t="s">
        <v>86</v>
      </c>
      <c r="D45" s="1" t="s">
        <v>67</v>
      </c>
      <c r="E45" s="1" t="s">
        <v>72</v>
      </c>
      <c r="F45" s="1">
        <v>69</v>
      </c>
      <c r="G45" s="1">
        <v>1000</v>
      </c>
      <c r="H45" s="2">
        <v>700</v>
      </c>
      <c r="I45" s="2">
        <v>69000</v>
      </c>
      <c r="J45" s="2">
        <f t="shared" si="0"/>
        <v>20700</v>
      </c>
    </row>
    <row r="46" spans="1:10" x14ac:dyDescent="0.2">
      <c r="A46" s="1" t="s">
        <v>50</v>
      </c>
      <c r="B46" s="1" t="s">
        <v>59</v>
      </c>
      <c r="C46" t="s">
        <v>84</v>
      </c>
      <c r="D46" s="1" t="s">
        <v>65</v>
      </c>
      <c r="E46" s="1" t="s">
        <v>71</v>
      </c>
      <c r="F46" s="1">
        <v>59</v>
      </c>
      <c r="G46" s="1">
        <v>1200</v>
      </c>
      <c r="H46" s="2">
        <v>800</v>
      </c>
      <c r="I46" s="2">
        <v>70800</v>
      </c>
      <c r="J46" s="2">
        <f t="shared" si="0"/>
        <v>23600</v>
      </c>
    </row>
    <row r="47" spans="1:10" x14ac:dyDescent="0.2">
      <c r="A47" s="1" t="s">
        <v>51</v>
      </c>
      <c r="B47" s="1" t="s">
        <v>64</v>
      </c>
      <c r="C47" t="s">
        <v>86</v>
      </c>
      <c r="D47" s="1" t="s">
        <v>67</v>
      </c>
      <c r="E47" s="1" t="s">
        <v>74</v>
      </c>
      <c r="F47" s="1">
        <v>109</v>
      </c>
      <c r="G47" s="1">
        <v>600</v>
      </c>
      <c r="H47" s="2">
        <v>400</v>
      </c>
      <c r="I47" s="2">
        <v>65400</v>
      </c>
      <c r="J47" s="2">
        <f t="shared" si="0"/>
        <v>21800</v>
      </c>
    </row>
    <row r="48" spans="1:10" x14ac:dyDescent="0.2">
      <c r="A48" s="1" t="s">
        <v>52</v>
      </c>
      <c r="B48" s="1" t="s">
        <v>63</v>
      </c>
      <c r="C48" t="s">
        <v>85</v>
      </c>
      <c r="D48" s="1" t="s">
        <v>66</v>
      </c>
      <c r="E48" s="1" t="s">
        <v>73</v>
      </c>
      <c r="F48" s="1">
        <v>61</v>
      </c>
      <c r="G48" s="1">
        <v>4000</v>
      </c>
      <c r="H48" s="2">
        <v>3000</v>
      </c>
      <c r="I48" s="2">
        <v>244000</v>
      </c>
      <c r="J48" s="2">
        <f t="shared" si="0"/>
        <v>61000</v>
      </c>
    </row>
    <row r="49" spans="1:10" x14ac:dyDescent="0.2">
      <c r="A49" s="1" t="s">
        <v>35</v>
      </c>
      <c r="B49" s="1" t="s">
        <v>59</v>
      </c>
      <c r="C49" t="s">
        <v>87</v>
      </c>
      <c r="D49" s="1" t="s">
        <v>68</v>
      </c>
      <c r="E49" s="1" t="s">
        <v>74</v>
      </c>
      <c r="F49" s="1">
        <v>130</v>
      </c>
      <c r="G49" s="1">
        <v>600</v>
      </c>
      <c r="H49" s="2">
        <v>400</v>
      </c>
      <c r="I49" s="2">
        <v>78000</v>
      </c>
      <c r="J49" s="2">
        <f t="shared" si="0"/>
        <v>26000</v>
      </c>
    </row>
    <row r="50" spans="1:10" x14ac:dyDescent="0.2">
      <c r="A50" s="1" t="s">
        <v>53</v>
      </c>
      <c r="B50" s="1" t="s">
        <v>58</v>
      </c>
      <c r="C50" t="s">
        <v>86</v>
      </c>
      <c r="D50" s="1" t="s">
        <v>67</v>
      </c>
      <c r="E50" s="1" t="s">
        <v>70</v>
      </c>
      <c r="F50" s="1">
        <v>60</v>
      </c>
      <c r="G50" s="1">
        <v>3500</v>
      </c>
      <c r="H50" s="2">
        <v>2500</v>
      </c>
      <c r="I50" s="2">
        <v>210000</v>
      </c>
      <c r="J50" s="2">
        <f t="shared" si="0"/>
        <v>60000</v>
      </c>
    </row>
    <row r="51" spans="1:10" x14ac:dyDescent="0.2">
      <c r="A51" s="1" t="s">
        <v>54</v>
      </c>
      <c r="B51" s="1" t="s">
        <v>56</v>
      </c>
      <c r="C51" t="s">
        <v>85</v>
      </c>
      <c r="D51" s="1" t="s">
        <v>66</v>
      </c>
      <c r="E51" s="1" t="s">
        <v>69</v>
      </c>
      <c r="F51" s="1">
        <v>73</v>
      </c>
      <c r="G51" s="1">
        <v>6000</v>
      </c>
      <c r="H51" s="2">
        <v>4000</v>
      </c>
      <c r="I51" s="2">
        <v>438000</v>
      </c>
      <c r="J51" s="2">
        <f t="shared" si="0"/>
        <v>146000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K51"/>
  <sheetViews>
    <sheetView zoomScaleNormal="100" workbookViewId="0">
      <selection activeCell="E7" sqref="E7"/>
    </sheetView>
  </sheetViews>
  <sheetFormatPr defaultRowHeight="15" x14ac:dyDescent="0.2"/>
  <cols>
    <col min="1" max="1" width="10.76171875" bestFit="1" customWidth="1"/>
    <col min="2" max="2" width="17.484375" bestFit="1" customWidth="1"/>
    <col min="4" max="4" width="12.5078125" bestFit="1" customWidth="1"/>
    <col min="5" max="5" width="17.484375" bestFit="1" customWidth="1"/>
    <col min="7" max="7" width="12.5078125" bestFit="1" customWidth="1"/>
    <col min="8" max="8" width="17.484375" bestFit="1" customWidth="1"/>
    <col min="10" max="10" width="12.5078125" bestFit="1" customWidth="1"/>
    <col min="11" max="11" width="16.94921875" bestFit="1" customWidth="1"/>
    <col min="12" max="12" width="16.0078125" bestFit="1" customWidth="1"/>
    <col min="13" max="33" width="2.95703125" bestFit="1" customWidth="1"/>
    <col min="34" max="50" width="4.03515625" bestFit="1" customWidth="1"/>
    <col min="51" max="51" width="10.76171875" bestFit="1" customWidth="1"/>
  </cols>
  <sheetData>
    <row r="3" spans="1:11" x14ac:dyDescent="0.2">
      <c r="B3" s="9" t="s">
        <v>81</v>
      </c>
      <c r="D3" s="7" t="s">
        <v>80</v>
      </c>
      <c r="E3" s="9" t="s">
        <v>81</v>
      </c>
      <c r="G3" s="7" t="s">
        <v>80</v>
      </c>
      <c r="H3" s="9" t="s">
        <v>81</v>
      </c>
      <c r="J3" s="7" t="s">
        <v>80</v>
      </c>
      <c r="K3" s="9" t="s">
        <v>82</v>
      </c>
    </row>
    <row r="4" spans="1:11" x14ac:dyDescent="0.2">
      <c r="A4" s="8" t="s">
        <v>77</v>
      </c>
      <c r="B4" s="11"/>
      <c r="D4" s="8" t="s">
        <v>77</v>
      </c>
      <c r="E4" s="11"/>
      <c r="G4" s="8" t="s">
        <v>77</v>
      </c>
      <c r="H4" s="11"/>
      <c r="J4" s="8" t="s">
        <v>77</v>
      </c>
      <c r="K4" s="14"/>
    </row>
    <row r="51" spans="5:5" x14ac:dyDescent="0.2">
      <c r="E51" s="10"/>
    </row>
  </sheetData>
  <pageMargins left="0.7" right="0.7" top="0.75" bottom="0.75" header="0.3" footer="0.3"/>
  <pageSetup paperSize="9" orientation="portrait" r:id="rId5"/>
  <drawing r:id="rId6"/>
  <extLst>
    <ext xmlns:x14="http://schemas.microsoft.com/office/spreadsheetml/2009/9/main" uri="{A8765BA9-456A-4dab-B4F3-ACF838C121DE}">
      <x14:slicerList>
        <x14:slicer r:id="rId7"/>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 /></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 /></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 /></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 /></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 /></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 /></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 /></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 /></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 /></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 /></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 /></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 /></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 /></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 /></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 /></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 /></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1B43C80C-DAD6-4ED3-8290-4EC3BCD1BBF7}">
  <ds:schemaRefs>
    <ds:schemaRef ds:uri="http://gemini/pivotcustomization/ManualCalcMode"/>
  </ds:schemaRefs>
</ds:datastoreItem>
</file>

<file path=customXml/itemProps2.xml><?xml version="1.0" encoding="utf-8"?>
<ds:datastoreItem xmlns:ds="http://schemas.openxmlformats.org/officeDocument/2006/customXml" ds:itemID="{C48322A8-18BA-434B-A043-7EB8E52DD1EE}">
  <ds:schemaRefs>
    <ds:schemaRef ds:uri="http://gemini/pivotcustomization/SandboxNonEmpty"/>
  </ds:schemaRefs>
</ds:datastoreItem>
</file>

<file path=customXml/itemProps3.xml><?xml version="1.0" encoding="utf-8"?>
<ds:datastoreItem xmlns:ds="http://schemas.openxmlformats.org/officeDocument/2006/customXml" ds:itemID="{1AC453AD-EFC4-4A00-BCCF-D55FF3151DB8}">
  <ds:schemaRefs>
    <ds:schemaRef ds:uri="http://gemini/pivotcustomization/TableWidget"/>
  </ds:schemaRefs>
</ds:datastoreItem>
</file>

<file path=customXml/itemProps4.xml><?xml version="1.0" encoding="utf-8"?>
<ds:datastoreItem xmlns:ds="http://schemas.openxmlformats.org/officeDocument/2006/customXml" ds:itemID="{BE199471-9F34-47ED-B0E1-99C09A795D82}">
  <ds:schemaRefs>
    <ds:schemaRef ds:uri="http://gemini/pivotcustomization/ClientWindowXML"/>
  </ds:schemaRefs>
</ds:datastoreItem>
</file>

<file path=customXml/itemProps5.xml><?xml version="1.0" encoding="utf-8"?>
<ds:datastoreItem xmlns:ds="http://schemas.openxmlformats.org/officeDocument/2006/customXml" ds:itemID="{9531CE33-7A6C-4579-B381-DC9F9391FB09}">
  <ds:schemaRefs>
    <ds:schemaRef ds:uri="http://gemini/pivotcustomization/FormulaBarState"/>
  </ds:schemaRefs>
</ds:datastoreItem>
</file>

<file path=customXml/itemProps6.xml><?xml version="1.0" encoding="utf-8"?>
<ds:datastoreItem xmlns:ds="http://schemas.openxmlformats.org/officeDocument/2006/customXml" ds:itemID="{292BF540-1D2E-4B8E-A6EA-2E557882B6F7}">
  <ds:schemaRefs>
    <ds:schemaRef ds:uri="http://gemini/pivotcustomization/TableOrder"/>
  </ds:schemaRefs>
</ds:datastoreItem>
</file>

<file path=customXml/itemProps7.xml><?xml version="1.0" encoding="utf-8"?>
<ds:datastoreItem xmlns:ds="http://schemas.openxmlformats.org/officeDocument/2006/customXml" ds:itemID="{61D590D0-D084-448C-810A-8ADCE0BB9439}">
  <ds:schemaRefs>
    <ds:schemaRef ds:uri="http://gemini/pivotcustomization/ErrorCache"/>
  </ds:schemaRefs>
</ds:datastoreItem>
</file>

<file path=customXml/itemProps8.xml><?xml version="1.0" encoding="utf-8"?>
<ds:datastoreItem xmlns:ds="http://schemas.openxmlformats.org/officeDocument/2006/customXml" ds:itemID="{704F52D2-D4E7-4574-846D-ADEA54474BA0}">
  <ds:schemaRefs>
    <ds:schemaRef ds:uri="http://gemini/pivotcustomization/ShowHidden"/>
  </ds:schemaRefs>
</ds:datastoreItem>
</file>

<file path=customXml/itemProps9.xml><?xml version="1.0" encoding="utf-8"?>
<ds:datastoreItem xmlns:ds="http://schemas.openxmlformats.org/officeDocument/2006/customXml" ds:itemID="{351201DB-245F-4396-A027-32B0D06D72C1}">
  <ds:schemaRefs>
    <ds:schemaRef ds:uri="http://gemini/pivotcustomization/ShowImplicitMeasures"/>
  </ds:schemaRefs>
</ds:datastoreItem>
</file>

<file path=customXml/itemProps10.xml><?xml version="1.0" encoding="utf-8"?>
<ds:datastoreItem xmlns:ds="http://schemas.openxmlformats.org/officeDocument/2006/customXml" ds:itemID="{F2605936-B56E-4B20-A73C-E7C5AADF3911}">
  <ds:schemaRefs>
    <ds:schemaRef ds:uri="http://gemini/pivotcustomization/Diagrams"/>
  </ds:schemaRefs>
</ds:datastoreItem>
</file>

<file path=customXml/itemProps11.xml><?xml version="1.0" encoding="utf-8"?>
<ds:datastoreItem xmlns:ds="http://schemas.openxmlformats.org/officeDocument/2006/customXml" ds:itemID="{CC42F798-768D-4353-9ED4-5D7A0BA21D63}">
  <ds:schemaRefs>
    <ds:schemaRef ds:uri="http://gemini/pivotcustomization/MeasureGridState"/>
  </ds:schemaRefs>
</ds:datastoreItem>
</file>

<file path=customXml/itemProps12.xml><?xml version="1.0" encoding="utf-8"?>
<ds:datastoreItem xmlns:ds="http://schemas.openxmlformats.org/officeDocument/2006/customXml" ds:itemID="{954C1803-56FD-45D0-B6D5-23B17F64B9D2}">
  <ds:schemaRefs>
    <ds:schemaRef ds:uri="http://gemini/pivotcustomization/TableXML_Table4"/>
  </ds:schemaRefs>
</ds:datastoreItem>
</file>

<file path=customXml/itemProps13.xml><?xml version="1.0" encoding="utf-8"?>
<ds:datastoreItem xmlns:ds="http://schemas.openxmlformats.org/officeDocument/2006/customXml" ds:itemID="{8824DC22-3C15-4BA6-83EE-EED2ADBC673A}">
  <ds:schemaRefs>
    <ds:schemaRef ds:uri="http://gemini/pivotcustomization/RelationshipAutoDetectionEnabled"/>
  </ds:schemaRefs>
</ds:datastoreItem>
</file>

<file path=customXml/itemProps14.xml><?xml version="1.0" encoding="utf-8"?>
<ds:datastoreItem xmlns:ds="http://schemas.openxmlformats.org/officeDocument/2006/customXml" ds:itemID="{0C504262-598B-4D46-A84E-096F04F7EA9A}">
  <ds:schemaRefs>
    <ds:schemaRef ds:uri="http://gemini/pivotcustomization/IsSandboxEmbedded"/>
  </ds:schemaRefs>
</ds:datastoreItem>
</file>

<file path=customXml/itemProps15.xml><?xml version="1.0" encoding="utf-8"?>
<ds:datastoreItem xmlns:ds="http://schemas.openxmlformats.org/officeDocument/2006/customXml" ds:itemID="{C4123372-70A9-4773-B145-780F42F7263D}">
  <ds:schemaRefs>
    <ds:schemaRef ds:uri="http://gemini/pivotcustomization/PowerPivotVersion"/>
  </ds:schemaRefs>
</ds:datastoreItem>
</file>

<file path=customXml/itemProps16.xml><?xml version="1.0" encoding="utf-8"?>
<ds:datastoreItem xmlns:ds="http://schemas.openxmlformats.org/officeDocument/2006/customXml" ds:itemID="{51E9EEA4-0FDD-4F7F-8C2F-BC2EF0F2581E}">
  <ds:schemaRefs>
    <ds:schemaRef ds:uri="http://gemini/pivotcustomization/LinkedTableUpdateMode"/>
  </ds:schemaRefs>
</ds:datastoreItem>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3</vt:i4>
      </vt:variant>
    </vt:vector>
  </HeadingPairs>
  <TitlesOfParts>
    <vt:vector size="3" baseType="lpstr">
      <vt:lpstr>Dashboard</vt:lpstr>
      <vt:lpstr>Sales DataSheet</vt:lpstr>
      <vt:lpstr> 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JASWANTH B</dc:creator>
  <cp:lastModifiedBy>Dell</cp:lastModifiedBy>
  <dcterms:created xsi:type="dcterms:W3CDTF">2025-08-25T11:26:34Z</dcterms:created>
  <dcterms:modified xsi:type="dcterms:W3CDTF">2025-12-07T19:32:46Z</dcterms:modified>
</cp:coreProperties>
</file>